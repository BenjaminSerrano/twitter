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itter data sources" sheetId="1" r:id="rId4"/>
    <sheet state="visible" name="FolloweersFollowees" sheetId="2" r:id="rId5"/>
    <sheet state="visible" name="Tweets" sheetId="3" r:id="rId6"/>
    <sheet state="visible" name="Methodology" sheetId="4" r:id="rId7"/>
    <sheet state="visible" name="References" sheetId="5" r:id="rId8"/>
    <sheet state="visible" name="Medidas de análisis" sheetId="6" r:id="rId9"/>
    <sheet state="visible" name="Resultados" sheetId="7" r:id="rId10"/>
  </sheets>
  <definedNames>
    <definedName hidden="1" localSheetId="0" name="_xlnm._FilterDatabase">'Twitter data sources'!$A$1:$D$8</definedName>
    <definedName hidden="1" localSheetId="4" name="_xlnm._FilterDatabase">References!$A$1:$K$15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28">
      <text>
        <t xml:space="preserve">Estos resultados también están interesantes: la correlación siempre es menor cuando se trata de perfiles ultra. Esto significa que en ellos los likes no son tan representativos de su actividad global: parecen estar más interesados en viralizar información, a través de comentarios o retweets, que en manifestar su aprobación por determinados tweets (muy de bot: todo calza).</t>
      </text>
    </comment>
    <comment authorId="0" ref="A19">
      <text>
        <t xml:space="preserve">@benjamin.serrano@alumnos.uv.cl
_Asignado a BENJAMÍN ANDRÉS SERRANO_
	-Fabian Riquelme Csori</t>
      </text>
    </comment>
  </commentList>
</comments>
</file>

<file path=xl/sharedStrings.xml><?xml version="1.0" encoding="utf-8"?>
<sst xmlns="http://schemas.openxmlformats.org/spreadsheetml/2006/main" count="516" uniqueCount="338">
  <si>
    <t>Nombre</t>
  </si>
  <si>
    <t>Cuenta</t>
  </si>
  <si>
    <t>Seguidores
(followers)</t>
  </si>
  <si>
    <t>Siguiendo
(friends)</t>
  </si>
  <si>
    <t>Ideas</t>
  </si>
  <si>
    <t>José Antonio Kast</t>
  </si>
  <si>
    <t>@joseantoniokast</t>
  </si>
  <si>
    <t>Ver si se pueden recolectar los metadatos de los followers (también podría ser de followees)</t>
  </si>
  <si>
    <t>Sergio Melnick</t>
  </si>
  <si>
    <t>@melnicksergio</t>
  </si>
  <si>
    <t>De ser así, buscar posibles bots mediante criterios simples:</t>
  </si>
  <si>
    <t>Tere Marinovic Vial</t>
  </si>
  <si>
    <t>@tere_marinovic</t>
  </si>
  <si>
    <t>- Ausencia de imagen de perfil</t>
  </si>
  <si>
    <t>Gonzalo de la Carrera</t>
  </si>
  <si>
    <t>@carreragonzalo</t>
  </si>
  <si>
    <t>- Fecha de creación</t>
  </si>
  <si>
    <t>Jorge Errázuriz</t>
  </si>
  <si>
    <t>@jorgeerrazuriz</t>
  </si>
  <si>
    <t>- Descripción y nombre de la cuenta</t>
  </si>
  <si>
    <t>Total</t>
  </si>
  <si>
    <t>Aim</t>
  </si>
  <si>
    <t>Total sin duplicados</t>
  </si>
  <si>
    <t>683.325 sin duplicados</t>
  </si>
  <si>
    <t>Keywords</t>
  </si>
  <si>
    <t>(actualizado 23 junio 2020)</t>
  </si>
  <si>
    <t>- Estudiar la materialización del orden del discurso (Foucault) en el espacio público, en el espacio del #YoRechazo
- Estudiar el uso de "la política del fin" (asumir la catástrofe de la sociedad y esperar mesiánicamente a quién la pueda rescatar) como estrategia política de la ultraderecha.</t>
  </si>
  <si>
    <t>#YoRechazo</t>
  </si>
  <si>
    <t>#YoApruebo</t>
  </si>
  <si>
    <t>Justification</t>
  </si>
  <si>
    <t>#RechazoCrece</t>
  </si>
  <si>
    <t>#SipoApruebo</t>
  </si>
  <si>
    <t>- Aunque estas teorías son originalmente de izquierda, pueden estudiarse aquí, dado que la ultraderecha se llama a sí misma "resistencia".</t>
  </si>
  <si>
    <t xml:space="preserve">Inicio recolección: </t>
  </si>
  <si>
    <t xml:space="preserve">Termino recolección: </t>
  </si>
  <si>
    <t>Tuit JAK (Hito Inicio)</t>
  </si>
  <si>
    <t>https://twitter.com/joseantoniokast/status/1195379524730531840?s=20</t>
  </si>
  <si>
    <t>Followers:</t>
  </si>
  <si>
    <t>Obtener followers y followees</t>
  </si>
  <si>
    <t>Solo español</t>
  </si>
  <si>
    <t>Desde cuándo y hasta cuándo comenzar a investigar los streaming</t>
  </si>
  <si>
    <t>Que informacion obtener de los followees y followers</t>
  </si>
  <si>
    <t>Atributo</t>
  </si>
  <si>
    <t>Significado</t>
  </si>
  <si>
    <t>Id</t>
  </si>
  <si>
    <t>Numero que identifica al usuario, cada usuario tiene un unico id</t>
  </si>
  <si>
    <t>Id_Str</t>
  </si>
  <si>
    <t>En caso de que el id sea demaciado gigante, se genera en este valor, que lo escribe en un texto</t>
  </si>
  <si>
    <t>Name</t>
  </si>
  <si>
    <t>El nombre publico que tiene la cuenta, no el @ asocidado a ella</t>
  </si>
  <si>
    <t>Url</t>
  </si>
  <si>
    <t>El link de twitter de la cuenta del usuario</t>
  </si>
  <si>
    <t>Protected</t>
  </si>
  <si>
    <t>Indica si el usuario tiene su cuenta privada o publica</t>
  </si>
  <si>
    <t>Verified</t>
  </si>
  <si>
    <t>Indica si el usuario tiene una cuenta verificada por twitter</t>
  </si>
  <si>
    <t>Likes</t>
  </si>
  <si>
    <t>La cantidad de "me gusta" que tiene la cuenta</t>
  </si>
  <si>
    <t>Statuses Count</t>
  </si>
  <si>
    <t>La cantidad de tweets (incluyendo los retweets) que tiene la cuenta</t>
  </si>
  <si>
    <t>Screen Name</t>
  </si>
  <si>
    <t>El @ que tiene la cuenta</t>
  </si>
  <si>
    <t>Friends Count</t>
  </si>
  <si>
    <t>La cantidad de amigos a los que sigue la cuenta</t>
  </si>
  <si>
    <t>Followers Count</t>
  </si>
  <si>
    <t>La cantidad de seguidores que siguen la cuenta</t>
  </si>
  <si>
    <t>Location</t>
  </si>
  <si>
    <t>La ubicacion que definio el usuario cuando creo la cuenta</t>
  </si>
  <si>
    <t>Languaje</t>
  </si>
  <si>
    <t>Lenguaje seleccionado por la persona en su aplicacion</t>
  </si>
  <si>
    <t>Created at</t>
  </si>
  <si>
    <t>La fecha en la que la cuenta fue creada</t>
  </si>
  <si>
    <t>Time Zone</t>
  </si>
  <si>
    <t>Zona horaria de la cuenta en caso de que el usuario especificara</t>
  </si>
  <si>
    <t>Geo enable</t>
  </si>
  <si>
    <t>Indica si la geolocalizacion esta activada o no</t>
  </si>
  <si>
    <t>Image</t>
  </si>
  <si>
    <t>Indica si es que tienen o no una foto en su perfil</t>
  </si>
  <si>
    <t>Description</t>
  </si>
  <si>
    <t>La descripcion del usuario que tiene en su cuenta</t>
  </si>
  <si>
    <t>Atributos</t>
  </si>
  <si>
    <t>Twitter id</t>
  </si>
  <si>
    <t>Year</t>
  </si>
  <si>
    <t>Año en el que fue tweeteado</t>
  </si>
  <si>
    <t>Month</t>
  </si>
  <si>
    <t>Mes en el que fue tweeteado</t>
  </si>
  <si>
    <t>Date</t>
  </si>
  <si>
    <t>Dia en el que fue tweeteado</t>
  </si>
  <si>
    <t>Time</t>
  </si>
  <si>
    <t>Hora en la que fue tweeteado</t>
  </si>
  <si>
    <t>Tweet_id</t>
  </si>
  <si>
    <t>Numero que identifica el tweet</t>
  </si>
  <si>
    <t>Tweet</t>
  </si>
  <si>
    <t>Texto de lo que trata en tweet</t>
  </si>
  <si>
    <t>Reply_id_tweet</t>
  </si>
  <si>
    <t>En caso de ser retweet, indica el ID de quien lo retwitteo</t>
  </si>
  <si>
    <t>Reply_id_user</t>
  </si>
  <si>
    <t>En caso de ser retweet, indica el nombrede quien lo retwitteo</t>
  </si>
  <si>
    <t>Reply_screen_name</t>
  </si>
  <si>
    <t>En caso de ser retweet, indica el @ de quien lo retwitteo</t>
  </si>
  <si>
    <t>Quote_tweet</t>
  </si>
  <si>
    <t>Indica si es un tweet citado o no</t>
  </si>
  <si>
    <t>Retweet count</t>
  </si>
  <si>
    <t>Cantidad de retweets del tweet en particular</t>
  </si>
  <si>
    <t>Favorite count</t>
  </si>
  <si>
    <t>Cantidad de likes que tiene el tweet en particular</t>
  </si>
  <si>
    <t>A general view of a process of data analysis in social networks</t>
  </si>
  <si>
    <t>Step</t>
  </si>
  <si>
    <t>Tools</t>
  </si>
  <si>
    <t>massive 
data 
sources</t>
  </si>
  <si>
    <t>Twitter
- via streaming: 
   #YoRechazo, #YoApruebo (define time: 1 month?)
- backforward: 
  5 Twitter accounts (since November* 2019)
  * First use of #YoRechazo by JAK after "agreement"</t>
  </si>
  <si>
    <t>database</t>
  </si>
  <si>
    <t>non-relational database (MongoDB)</t>
  </si>
  <si>
    <t>network model</t>
  </si>
  <si>
    <t>retweets, mentions, replies (+likes)</t>
  </si>
  <si>
    <t>algorithms</t>
  </si>
  <si>
    <t>centrality measures, correlation coefficients</t>
  </si>
  <si>
    <t>results 
interpretations</t>
  </si>
  <si>
    <t>rankings, clustering, correlations,
comparison of mentions over time between hashtags,
identification of peak hours in hashtag mentions,
use of hashtags by bots vs. normal user accounts</t>
  </si>
  <si>
    <t>Title</t>
  </si>
  <si>
    <t>Año</t>
  </si>
  <si>
    <t>Journal / Publishing</t>
  </si>
  <si>
    <t>Doi</t>
  </si>
  <si>
    <t>Case study</t>
  </si>
  <si>
    <t>Study object</t>
  </si>
  <si>
    <t>Access</t>
  </si>
  <si>
    <t>Methodological perspective</t>
  </si>
  <si>
    <t>Data</t>
  </si>
  <si>
    <t>Theorical perspective</t>
  </si>
  <si>
    <t xml:space="preserve">The International Alt-Right: Fascism for the 21st Century?
</t>
  </si>
  <si>
    <t>Taylor &amp; Francis (BOOK)</t>
  </si>
  <si>
    <t>10.4324/9780429032486</t>
  </si>
  <si>
    <t>Europe, Russia, Japan, India</t>
  </si>
  <si>
    <t>Culture, activism, gender and sexuality, right wing</t>
  </si>
  <si>
    <t>No available</t>
  </si>
  <si>
    <t>Understanding Potential Cyber-Armies in Elections: A Study of Taiwan</t>
  </si>
  <si>
    <t>Sustainability</t>
  </si>
  <si>
    <t>10.3390/su12062248</t>
  </si>
  <si>
    <t>Taiwan election campaigns</t>
  </si>
  <si>
    <t>Cyber-armies/professional users</t>
  </si>
  <si>
    <t>Available</t>
  </si>
  <si>
    <t>Identify potential “cyber-armies/professional users” during election campaigns on social platforms</t>
  </si>
  <si>
    <t>Quantitative</t>
  </si>
  <si>
    <t>Activity data over six months from a prominent Taiwan-based social forum before the 2018 national election and applied a series of statistical analyses to screen out potential target</t>
  </si>
  <si>
    <t>Manuel Castells (Social Movements)</t>
  </si>
  <si>
    <t>Detecting Political Bots on Twitter during the 2019 Finnish Parliamentary Election</t>
  </si>
  <si>
    <t>Proceedings of the 53rd Hawaii International Conference on System Sciences</t>
  </si>
  <si>
    <t>10.24251/HICSS.2020.298</t>
  </si>
  <si>
    <t>2019 Finnish Parliamentary Election</t>
  </si>
  <si>
    <t>Political bots</t>
  </si>
  <si>
    <t>Investigate the influence of bots on Finnish political Twitter</t>
  </si>
  <si>
    <t>Twitter’s Streaming API</t>
  </si>
  <si>
    <t>Without political conflict</t>
  </si>
  <si>
    <t>Normalizing misogyny: hate speech and verbal abuse of female politicians on Japanese Twitter</t>
  </si>
  <si>
    <t>Japan Forum</t>
  </si>
  <si>
    <t>10.1080/09555803.2019.1687564</t>
  </si>
  <si>
    <t>4 prominent female politicians in Twitter</t>
  </si>
  <si>
    <t>Sexist hate speech</t>
  </si>
  <si>
    <t>Show instances of misogynist or sexist hate speech and abusive
language against female politicians on Twitter</t>
  </si>
  <si>
    <t>Mixed</t>
  </si>
  <si>
    <t>CQPweb with keywords on four candidates` names</t>
  </si>
  <si>
    <t>Kate Manne (Analytic feminism)</t>
  </si>
  <si>
    <t>Communicative Strategies of Russian Politicians on Social Networking Site Vkontakte</t>
  </si>
  <si>
    <t xml:space="preserve">EGOSE 2019: Electronic Governance and Open Society: Challenges in Eurasia </t>
  </si>
  <si>
    <t>10.1007/978-3-030-39296-3_31</t>
  </si>
  <si>
    <t>Russian politician accounts</t>
  </si>
  <si>
    <t>Strategic communication</t>
  </si>
  <si>
    <t>State Propaganda on Twitter</t>
  </si>
  <si>
    <t>MISDOOM 2019: Disinformation in Open Online Media</t>
  </si>
  <si>
    <t>10.1007/978-3-030-39627-5_14</t>
  </si>
  <si>
    <t>Iranian propaganda accounts on Twitter (English tweets)</t>
  </si>
  <si>
    <t>State propaganda, anti-Saudi narrative</t>
  </si>
  <si>
    <t>Show how Iranian propaganda accounts tried to influence the international online debate on Saudi Arabia</t>
  </si>
  <si>
    <t>Public data (Twitter)</t>
  </si>
  <si>
    <t>Investigating the Role of Social Bots During the 2019 Canadian Election</t>
  </si>
  <si>
    <t>SSRN</t>
  </si>
  <si>
    <t>10.2139/ssrn.3547763</t>
  </si>
  <si>
    <t>2019 Canadian Election on Twitter</t>
  </si>
  <si>
    <t>Social bots</t>
  </si>
  <si>
    <t xml:space="preserve">Review bot manipulation during Canadian elections </t>
  </si>
  <si>
    <t>Real-time stream of the Twitter platform</t>
  </si>
  <si>
    <t>Un)Trendy Japan: Twitter bots and the 2017 Japanese general election</t>
  </si>
  <si>
    <t>Politics in Central Europe</t>
  </si>
  <si>
    <t>10.2478/pce-2019-0027</t>
  </si>
  <si>
    <t>2017 Japanese general election on Twitter</t>
  </si>
  <si>
    <t xml:space="preserve">Review bot manipulation during japan`s  elections </t>
  </si>
  <si>
    <t>Supervised machine learning approach on Twitter</t>
  </si>
  <si>
    <t>International Relations`frame</t>
  </si>
  <si>
    <t>Digital propaganda, political bots and polarized politics in India</t>
  </si>
  <si>
    <t>Asian Journal of Communication</t>
  </si>
  <si>
    <t>10.1080/01292986.2019.1699938</t>
  </si>
  <si>
    <t>2 international conflicts between India and Pakistan</t>
  </si>
  <si>
    <t>Political bots, polarization</t>
  </si>
  <si>
    <t>Show how indian online public opinion has been manipulated by a handful of sources that are driven by algorithms</t>
  </si>
  <si>
    <t>Social Bearing (Twitter API)</t>
  </si>
  <si>
    <t>Social bots in political communication</t>
  </si>
  <si>
    <t>RUDN Journal of Sociology</t>
  </si>
  <si>
    <t>10.22363/2313-2272-2019-19-1-121-133</t>
  </si>
  <si>
    <t>Election campaigns of USA, Great Britain, Venezuela, Japan and other countries</t>
  </si>
  <si>
    <t>Towards an Understanding of Online Extremism in Japan</t>
  </si>
  <si>
    <t>WI '19 Companion: IEEE/WIC/ACM International Conference on Web Intelligence</t>
  </si>
  <si>
    <t>10.1145/3358695.3360922</t>
  </si>
  <si>
    <t>Online social networks</t>
  </si>
  <si>
    <t>Political extremism, political ideology</t>
  </si>
  <si>
    <t>Apply a large-scale social media data to characterise specifc aggregated behavioural paterns of extremists</t>
  </si>
  <si>
    <t>STM (structural topic model)</t>
  </si>
  <si>
    <t>Podríamos revisar ese enfoque ideológico y darle explicaciones más interesantes que la mera descripción</t>
  </si>
  <si>
    <t>Social Bots in Election Campaigns: Theoretical, Empirical, and Methodological Implications</t>
  </si>
  <si>
    <t>Political Communication</t>
  </si>
  <si>
    <t>10.1080/10584609.2018.1526238</t>
  </si>
  <si>
    <t>2017 German electoral campaign</t>
  </si>
  <si>
    <t xml:space="preserve">Review bot manipulation during german`s  elections </t>
  </si>
  <si>
    <t>BirdSong Analytics (Twitter API)</t>
  </si>
  <si>
    <t>Systemic approach</t>
  </si>
  <si>
    <t>Becoming right-wing citizens in contemporary Japan</t>
  </si>
  <si>
    <t>Contemporary Japan</t>
  </si>
  <si>
    <t>10.1080/18692729.2019.1655618</t>
  </si>
  <si>
    <t>Original and secondary interviews of 46 right-wing citizens, ethnographic notes of right-wing groups</t>
  </si>
  <si>
    <t>Right wing</t>
  </si>
  <si>
    <t>Address emotions of right-wing citizens</t>
  </si>
  <si>
    <t xml:space="preserve">Qualitative </t>
  </si>
  <si>
    <t>Interview analysis and participant observation</t>
  </si>
  <si>
    <t>Frame analysis</t>
  </si>
  <si>
    <t>Japan's 2014 General Election: Political Bots, Right-Wing Internet Activism, and Prime Minister Shinzō Abe's Hidden Nationalist Agenda</t>
  </si>
  <si>
    <t>Big Data</t>
  </si>
  <si>
    <t>10.1089/big.2017.0049</t>
  </si>
  <si>
    <t>Japan's 2014 General Election</t>
  </si>
  <si>
    <t>Right wing, political bots</t>
  </si>
  <si>
    <t>Streaming Twitter (API)</t>
  </si>
  <si>
    <t>Van Dijk</t>
  </si>
  <si>
    <t>Para toda la muestra (único CSV, sin duplicados)</t>
  </si>
  <si>
    <t>Sobre privacidad de las cuentas</t>
  </si>
  <si>
    <t>Sobre perfiles de las cuentas</t>
  </si>
  <si>
    <t>Medida</t>
  </si>
  <si>
    <t>Interpretación</t>
  </si>
  <si>
    <t>#Protected / #Total</t>
  </si>
  <si>
    <t>% cuentas protegidas</t>
  </si>
  <si>
    <t>#Image('VERDADERO') / #Total</t>
  </si>
  <si>
    <t>%cuentas sin imagen perfil (ojo: 'VERDADERO', no 'FALSO')</t>
  </si>
  <si>
    <t>#Verified / #Total</t>
  </si>
  <si>
    <t>% cuentas verificadas</t>
  </si>
  <si>
    <t>(#Image(VERDADERO) &amp;&amp; #Created_at(&gt;=18-10-2019)) / #Total</t>
  </si>
  <si>
    <t>%cuentas sin imagen de perfil creadas desde el 18 Oct</t>
  </si>
  <si>
    <t>*considerar resto de análisis también para c/u</t>
  </si>
  <si>
    <t>(#Image(VERDADERO) &amp;&amp; #Created_at(&gt;=15-11-2019)) / #Total</t>
  </si>
  <si>
    <t>%cuentas sin imagen de perfil creadas desde el 15 Nov</t>
  </si>
  <si>
    <t>#(Name{'rechazo'||'zurdo'||'zurderio'||'comunista'||'comunacho'||'Pinochet'||'patriota'}
   || Description{'rechazo'||'zurdo'||'zurderio'||'comunista'||'comunacho'||'Pinochet'||'patriota'}) / #Total</t>
  </si>
  <si>
    <t>%cuentas con nombre o descripción de perfil derechista</t>
  </si>
  <si>
    <t>Sobre fechas de creación de las cuentas</t>
  </si>
  <si>
    <t>#(Name{'rechazo'||'zurdo'||'zurderio'||'comunista'||'comunacho'||'Pinochet'||'patriota'}
   || Description{'rechazo'||'zurdo'||'zurderio'||'comunista'||'comunacho'||'Pinochet'||'patriota'}
   ) &amp;&amp; #Created_at(&gt;=18-10-2019))</t>
  </si>
  <si>
    <t>#(Name{'rechazo'||'zurdo'||'zurderio'||'comunista'||'comunacho'||'Pinochet'||'patriota'}
   || Description{'rechazo'||'zurdo'||'zurderio'||'comunista'||'comunacho'||'Pinochet'||'patriota'}
   ) &amp;&amp; #Created_at(&gt;=15-11-2019))</t>
  </si>
  <si>
    <t>#Created_at(&gt;=18-10-2019)</t>
  </si>
  <si>
    <t>#cuentas creadas desde 18 oct</t>
  </si>
  <si>
    <t>Gráfica de tiempo vs. #cuentas_creadas c/ nombre o descripción de perfil derechista</t>
  </si>
  <si>
    <t>#Created_at(&gt;=18-10-2019) / #Total</t>
  </si>
  <si>
    <t>%cuentas creadas desde 18 oct</t>
  </si>
  <si>
    <t>#Created_at(&gt;=15-11-2019)</t>
  </si>
  <si>
    <t>#cuentas creadas desde 15 nov</t>
  </si>
  <si>
    <t>Sobre actividad de las cuentas</t>
  </si>
  <si>
    <t>#Created_at(&gt;=15-11-2019) / #Total</t>
  </si>
  <si>
    <t>%cuentas creadas desde 15 nov</t>
  </si>
  <si>
    <t>Gráfica tiempo vs. #creadas_acumuladas</t>
  </si>
  <si>
    <t>destacar 18 oct y 15 nov</t>
  </si>
  <si>
    <t>Corr_Spearman(Rank #Likes, Rank #Statuses_count)</t>
  </si>
  <si>
    <r>
      <rPr>
        <rFont val="Arial"/>
        <color theme="1"/>
      </rPr>
      <t xml:space="preserve">correlación de tipos de actividad (incluir </t>
    </r>
    <r>
      <rPr>
        <rFont val="Arial"/>
        <b/>
        <color theme="1"/>
      </rPr>
      <t>p-value</t>
    </r>
    <r>
      <rPr>
        <rFont val="Arial"/>
        <color theme="1"/>
      </rPr>
      <t xml:space="preserve"> &lt; 0.05)</t>
    </r>
  </si>
  <si>
    <t>*analizar actividad proporcionalmente de acuerdo al tiempo de creación</t>
  </si>
  <si>
    <t>Corr_Spearman(Rank #Likes, Rank #Statuses_count) | filtrar solo para ctas. de perfil extremista</t>
  </si>
  <si>
    <t>*analizar popularidad proporcionalmente de acuerdo al tiempo de creación</t>
  </si>
  <si>
    <t>Corr_Kendall(Rank #Likes, Rank #Statuses_count)</t>
  </si>
  <si>
    <r>
      <rPr>
        <rFont val="Arial"/>
        <color theme="1"/>
      </rPr>
      <t xml:space="preserve">correlación de tipos de actividad (incluir </t>
    </r>
    <r>
      <rPr>
        <rFont val="Arial"/>
        <b/>
        <color theme="1"/>
      </rPr>
      <t xml:space="preserve">p-value </t>
    </r>
    <r>
      <rPr>
        <rFont val="Arial"/>
        <color theme="1"/>
      </rPr>
      <t>&lt; 0.05)</t>
    </r>
  </si>
  <si>
    <t>Actividad = #Likes + #Statuses_count</t>
  </si>
  <si>
    <t>actividad de la cuenta: likes+tweets+retweets</t>
  </si>
  <si>
    <t>Actividad promedio, mediana, desviación estándar</t>
  </si>
  <si>
    <t>Gráfica #Followers (ordenados de &gt; a &lt; Actividad) vs. Actividad</t>
  </si>
  <si>
    <t>(destacando lugar donde está Actividad promedio y mediana)</t>
  </si>
  <si>
    <t>Gráfica #Friends (ordenados de &gt; a &lt; Actividad) vs. Actividad</t>
  </si>
  <si>
    <t>Sobre popularidad de las cuentas</t>
  </si>
  <si>
    <t>Follower_Rank = Followers_count / (Followers_count + Friends_count)</t>
  </si>
  <si>
    <t>medida de centralidad de popularidad</t>
  </si>
  <si>
    <t>Follower_Rank promedio, mediana, desviación estándar</t>
  </si>
  <si>
    <t>Network_Score = log(Followers_count + 1) - log(Friends_count + 1)</t>
  </si>
  <si>
    <t>Network_Score promedio, mediana, desviación estándar</t>
  </si>
  <si>
    <t>Corr_Spearman(Rank{Friends_count, Followers_count, Follower_Rank, Network_Score})</t>
  </si>
  <si>
    <t>correlación de medidas de popularidad (incluir p-value)</t>
  </si>
  <si>
    <t>Corr_Kendall(Rank{Friends_count, Followers_count, Follower_Rank, Network_Score})</t>
  </si>
  <si>
    <t>Gráfica #Followers (ordenados de &gt; a &lt; "Popularidad") vs. Popularidad</t>
  </si>
  <si>
    <t>(destacando lugar donde está Popularidad promedio y mediana)</t>
  </si>
  <si>
    <t>Gráfica #Friends (ordenados de &gt; a &lt; "Popularidad") vs. Popularidad</t>
  </si>
  <si>
    <t>1. Sobre perfiles de las cuentas</t>
  </si>
  <si>
    <t>Total Friends</t>
  </si>
  <si>
    <t>Total Followers</t>
  </si>
  <si>
    <t>Friends Kast</t>
  </si>
  <si>
    <t>Followers Kast</t>
  </si>
  <si>
    <t>Friends Melnick</t>
  </si>
  <si>
    <t>Followers Melnick</t>
  </si>
  <si>
    <t>Friends Marinovic</t>
  </si>
  <si>
    <t>Followers Marinovic</t>
  </si>
  <si>
    <t>Friends Gonzalo</t>
  </si>
  <si>
    <t>Followers Gonzalo</t>
  </si>
  <si>
    <t>Friends Jorge</t>
  </si>
  <si>
    <t>Followers Jorge</t>
  </si>
  <si>
    <t>núm.</t>
  </si>
  <si>
    <t>%</t>
  </si>
  <si>
    <t>2. Sobre privacidad de las cuentas</t>
  </si>
  <si>
    <t>3. Sobre fechas de creación de las cuentas</t>
  </si>
  <si>
    <t>#(Image('VERDADERO') &amp;&amp; Verified) / #Total</t>
  </si>
  <si>
    <r>
      <rPr>
        <rFont val="Arial"/>
        <color theme="1"/>
        <sz val="10.0"/>
      </rPr>
      <t>#</t>
    </r>
    <r>
      <rPr>
        <rFont val="Arial"/>
        <b/>
        <color theme="1"/>
        <sz val="10.0"/>
      </rPr>
      <t>(</t>
    </r>
    <r>
      <rPr>
        <rFont val="Arial"/>
        <color theme="1"/>
        <sz val="10.0"/>
      </rPr>
      <t>(Name{'rechazo'||'zurdo'||'zurderio'||'comunista'||'comunacho'||'Pinochet'||'patriota'}
   || Description{'rechazo'||'zurdo'||'zurderio'||'comunista'||'comunacho'||'Pinochet'||'patriota'}) 
   &amp;&amp; Verified</t>
    </r>
    <r>
      <rPr>
        <rFont val="Arial"/>
        <b/>
        <color theme="1"/>
        <sz val="10.0"/>
      </rPr>
      <t>)</t>
    </r>
    <r>
      <rPr>
        <rFont val="Arial"/>
        <color theme="1"/>
        <sz val="10.0"/>
      </rPr>
      <t xml:space="preserve"> / #Total</t>
    </r>
  </si>
  <si>
    <t>4. Sobre actividad de las cuentas</t>
  </si>
  <si>
    <t>acumulada (1)</t>
  </si>
  <si>
    <t>Gráfica #Followers+Friends (ordenados de &gt; a &lt; status_count) vs. status_count</t>
  </si>
  <si>
    <t>Gráfica #Followers+Friends (ordenados de &gt; a &lt; status_count) vs. status_count con perfil ultra</t>
  </si>
  <si>
    <t>value:</t>
  </si>
  <si>
    <t>p value</t>
  </si>
  <si>
    <t>Corr_Spearman(Rank #Likes, Rank #Statuses_count) followers</t>
  </si>
  <si>
    <t>Corr_Spearman(Rank #Likes, Rank #Statuses_count) followers con perfil ultra-derecha</t>
  </si>
  <si>
    <t>Corr_Spearman(Rank #Likes, Rank #Statuses_count) friends</t>
  </si>
  <si>
    <t>Corr_Spearman(Rank #Likes, Rank #Statuses_count) friends con perfil ultra-derecha</t>
  </si>
  <si>
    <t>Corr_Spearman(Rank #Likes, Rank #Statuses_count) followers + friends</t>
  </si>
  <si>
    <t>Corr_Spearman(Rank #Likes, Rank #Statuses_count) followers + friends con perfil ultra-derecha</t>
  </si>
  <si>
    <t>(&lt;0.001)</t>
  </si>
  <si>
    <t>tweets</t>
  </si>
  <si>
    <t>retweets</t>
  </si>
  <si>
    <t>mentions</t>
  </si>
  <si>
    <t>likes</t>
  </si>
  <si>
    <t>general activity</t>
  </si>
  <si>
    <t>num.</t>
  </si>
  <si>
    <t>Kast</t>
  </si>
  <si>
    <t>Melnick</t>
  </si>
  <si>
    <t>Marinovic</t>
  </si>
  <si>
    <t>Errázuriz</t>
  </si>
  <si>
    <t>de la Carrera</t>
  </si>
  <si>
    <t>promedio</t>
  </si>
  <si>
    <t>mediana</t>
  </si>
  <si>
    <t>desv. estándar</t>
  </si>
  <si>
    <t>Gráfica #Followers (ordenados de &gt; a &lt; Follower_Rank) vs. Follower_Rank</t>
  </si>
  <si>
    <t>Gráfica #Friends (ordenados de &gt; a &lt; Network_Score) vs. Network_Score</t>
  </si>
  <si>
    <t>Gráfica #Followers (ordenados de &gt; a &lt; Follower_Rank) vs. Follower_Rank c\ perfil ultra</t>
  </si>
  <si>
    <t>Gráfica #Friends (ordenados de &gt; a &lt; Network_Score) vs. Network_Score  c\ perfil ultra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</si>
</sst>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0.000"/>
    <numFmt numFmtId="166" formatCode="0.0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sz val="12.0"/>
      <color theme="1"/>
      <name val="Calibri"/>
    </font>
    <font>
      <sz val="12.0"/>
      <color theme="1"/>
      <name val="Calibri"/>
    </font>
    <font>
      <b/>
      <color rgb="FF0000FF"/>
      <name val="Arial"/>
      <scheme val="minor"/>
    </font>
    <font>
      <color rgb="FF000000"/>
      <name val="Arial"/>
    </font>
    <font>
      <sz val="11.0"/>
      <color rgb="FF000000"/>
      <name val="Arial"/>
    </font>
    <font>
      <color rgb="FF000000"/>
      <name val="Roboto"/>
    </font>
    <font>
      <color rgb="FF242021"/>
      <name val="Arial"/>
    </font>
    <font>
      <sz val="10.0"/>
      <color theme="1"/>
      <name val="Arial"/>
      <scheme val="minor"/>
    </font>
    <font/>
    <font>
      <b/>
      <sz val="10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1" numFmtId="3" xfId="0" applyFont="1" applyNumberFormat="1"/>
    <xf borderId="0" fillId="0" fontId="1" numFmtId="3" xfId="0" applyAlignment="1" applyFont="1" applyNumberForma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0" fontId="1" numFmtId="0" xfId="0" applyAlignment="1" applyFont="1">
      <alignment readingOrder="0" vertical="top"/>
    </xf>
    <xf borderId="0" fillId="0" fontId="6" numFmtId="0" xfId="0" applyAlignment="1" applyFont="1">
      <alignment readingOrder="0" shrinkToFit="0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2" fontId="9" numFmtId="0" xfId="0" applyAlignment="1" applyFill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3" fontId="1" numFmtId="0" xfId="0" applyAlignment="1" applyFill="1" applyFont="1">
      <alignment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/>
    </xf>
    <xf borderId="0" fillId="0" fontId="1" numFmtId="0" xfId="0" applyAlignment="1" applyFont="1">
      <alignment horizontal="center" shrinkToFit="0" vertical="center" wrapText="1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readingOrder="0"/>
    </xf>
    <xf borderId="0" fillId="6" fontId="7" numFmtId="0" xfId="0" applyAlignment="1" applyFont="1">
      <alignment horizontal="left" readingOrder="0"/>
    </xf>
    <xf borderId="0" fillId="7" fontId="1" numFmtId="0" xfId="0" applyAlignment="1" applyFill="1" applyFont="1">
      <alignment readingOrder="0"/>
    </xf>
    <xf borderId="0" fillId="2" fontId="7" numFmtId="0" xfId="0" applyAlignment="1" applyFont="1">
      <alignment horizontal="left" readingOrder="0"/>
    </xf>
    <xf borderId="0" fillId="8" fontId="1" numFmtId="0" xfId="0" applyAlignment="1" applyFill="1" applyFont="1">
      <alignment horizontal="center" readingOrder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horizontal="center" readingOrder="0"/>
    </xf>
    <xf borderId="0" fillId="11" fontId="1" numFmtId="0" xfId="0" applyAlignment="1" applyFill="1" applyFont="1">
      <alignment readingOrder="0"/>
    </xf>
    <xf borderId="0" fillId="11" fontId="7" numFmtId="0" xfId="0" applyAlignment="1" applyFont="1">
      <alignment horizontal="left" readingOrder="0"/>
    </xf>
    <xf borderId="0" fillId="12" fontId="1" numFmtId="0" xfId="0" applyAlignment="1" applyFill="1" applyFont="1">
      <alignment horizontal="center" readingOrder="0"/>
    </xf>
    <xf borderId="0" fillId="13" fontId="1" numFmtId="0" xfId="0" applyAlignment="1" applyFill="1" applyFont="1">
      <alignment readingOrder="0"/>
    </xf>
    <xf borderId="0" fillId="13" fontId="7" numFmtId="0" xfId="0" applyAlignment="1" applyFont="1">
      <alignment horizontal="left" readingOrder="0"/>
    </xf>
    <xf borderId="2" fillId="5" fontId="11" numFmtId="0" xfId="0" applyAlignment="1" applyBorder="1" applyFont="1">
      <alignment horizontal="center" readingOrder="0"/>
    </xf>
    <xf borderId="3" fillId="5" fontId="11" numFmtId="0" xfId="0" applyAlignment="1" applyBorder="1" applyFont="1">
      <alignment horizontal="center" readingOrder="0"/>
    </xf>
    <xf borderId="4" fillId="0" fontId="12" numFmtId="0" xfId="0" applyBorder="1" applyFont="1"/>
    <xf borderId="0" fillId="0" fontId="11" numFmtId="0" xfId="0" applyFont="1"/>
    <xf borderId="5" fillId="0" fontId="12" numFmtId="0" xfId="0" applyBorder="1" applyFont="1"/>
    <xf borderId="1" fillId="7" fontId="11" numFmtId="2" xfId="0" applyAlignment="1" applyBorder="1" applyFont="1" applyNumberFormat="1">
      <alignment horizontal="center" readingOrder="0" shrinkToFit="0" vertical="bottom" wrapText="0"/>
    </xf>
    <xf borderId="1" fillId="2" fontId="11" numFmtId="0" xfId="0" applyAlignment="1" applyBorder="1" applyFont="1">
      <alignment horizontal="left" readingOrder="0"/>
    </xf>
    <xf borderId="1" fillId="0" fontId="11" numFmtId="1" xfId="0" applyAlignment="1" applyBorder="1" applyFont="1" applyNumberFormat="1">
      <alignment horizontal="center" readingOrder="0" shrinkToFit="0" vertical="bottom" wrapText="0"/>
    </xf>
    <xf borderId="1" fillId="0" fontId="11" numFmtId="2" xfId="0" applyAlignment="1" applyBorder="1" applyFont="1" applyNumberFormat="1">
      <alignment horizontal="center" readingOrder="0" shrinkToFit="0" vertical="bottom" wrapText="0"/>
    </xf>
    <xf borderId="1" fillId="0" fontId="11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readingOrder="0" shrinkToFit="0" vertical="bottom" wrapText="0"/>
    </xf>
    <xf borderId="1" fillId="0" fontId="11" numFmtId="0" xfId="0" applyAlignment="1" applyBorder="1" applyFont="1">
      <alignment readingOrder="0"/>
    </xf>
    <xf borderId="0" fillId="0" fontId="11" numFmtId="2" xfId="0" applyAlignment="1" applyFont="1" applyNumberFormat="1">
      <alignment horizontal="center" readingOrder="0" shrinkToFit="0" vertical="bottom" wrapText="0"/>
    </xf>
    <xf borderId="1" fillId="0" fontId="11" numFmtId="1" xfId="0" applyAlignment="1" applyBorder="1" applyFont="1" applyNumberFormat="1">
      <alignment horizontal="center" readingOrder="0"/>
    </xf>
    <xf borderId="0" fillId="0" fontId="11" numFmtId="0" xfId="0" applyAlignment="1" applyFont="1">
      <alignment readingOrder="0"/>
    </xf>
    <xf borderId="0" fillId="0" fontId="11" numFmtId="0" xfId="0" applyAlignment="1" applyFont="1">
      <alignment horizontal="center"/>
    </xf>
    <xf borderId="2" fillId="4" fontId="11" numFmtId="0" xfId="0" applyAlignment="1" applyBorder="1" applyFont="1">
      <alignment horizontal="center" readingOrder="0"/>
    </xf>
    <xf borderId="3" fillId="4" fontId="11" numFmtId="0" xfId="0" applyAlignment="1" applyBorder="1" applyFont="1">
      <alignment horizontal="center" readingOrder="0"/>
    </xf>
    <xf borderId="1" fillId="6" fontId="11" numFmtId="2" xfId="0" applyAlignment="1" applyBorder="1" applyFont="1" applyNumberFormat="1">
      <alignment horizontal="center" readingOrder="0" shrinkToFit="0" vertical="bottom" wrapText="0"/>
    </xf>
    <xf borderId="2" fillId="8" fontId="11" numFmtId="0" xfId="0" applyAlignment="1" applyBorder="1" applyFont="1">
      <alignment horizontal="center" readingOrder="0"/>
    </xf>
    <xf borderId="3" fillId="8" fontId="11" numFmtId="0" xfId="0" applyAlignment="1" applyBorder="1" applyFont="1">
      <alignment horizontal="center" readingOrder="0"/>
    </xf>
    <xf borderId="1" fillId="9" fontId="11" numFmtId="2" xfId="0" applyAlignment="1" applyBorder="1" applyFont="1" applyNumberFormat="1">
      <alignment horizontal="center" readingOrder="0" shrinkToFit="0" vertical="bottom" wrapText="0"/>
    </xf>
    <xf borderId="1" fillId="14" fontId="11" numFmtId="0" xfId="0" applyBorder="1" applyFill="1" applyFont="1"/>
    <xf borderId="1" fillId="0" fontId="11" numFmtId="0" xfId="0" applyAlignment="1" applyBorder="1" applyFont="1">
      <alignment readingOrder="0" vertical="center"/>
    </xf>
    <xf borderId="1" fillId="0" fontId="11" numFmtId="0" xfId="0" applyAlignment="1" applyBorder="1" applyFont="1">
      <alignment horizontal="center" readingOrder="0" vertical="center"/>
    </xf>
    <xf borderId="1" fillId="0" fontId="11" numFmtId="165" xfId="0" applyAlignment="1" applyBorder="1" applyFont="1" applyNumberFormat="1">
      <alignment horizontal="center" readingOrder="0" shrinkToFit="0" vertical="center" wrapText="0"/>
    </xf>
    <xf borderId="1" fillId="0" fontId="11" numFmtId="165" xfId="0" applyAlignment="1" applyBorder="1" applyFont="1" applyNumberFormat="1">
      <alignment horizontal="center" readingOrder="0" vertical="center"/>
    </xf>
    <xf borderId="1" fillId="14" fontId="11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6" fillId="10" fontId="11" numFmtId="0" xfId="0" applyAlignment="1" applyBorder="1" applyFont="1">
      <alignment horizontal="center" readingOrder="0"/>
    </xf>
    <xf borderId="7" fillId="0" fontId="11" numFmtId="0" xfId="0" applyAlignment="1" applyBorder="1" applyFont="1">
      <alignment horizontal="center" readingOrder="0"/>
    </xf>
    <xf borderId="0" fillId="0" fontId="11" numFmtId="0" xfId="0" applyAlignment="1" applyFont="1">
      <alignment horizontal="center" readingOrder="0"/>
    </xf>
    <xf borderId="8" fillId="0" fontId="12" numFmtId="0" xfId="0" applyBorder="1" applyFont="1"/>
    <xf borderId="7" fillId="0" fontId="11" numFmtId="2" xfId="0" applyAlignment="1" applyBorder="1" applyFont="1" applyNumberFormat="1">
      <alignment horizontal="left" readingOrder="0" shrinkToFit="0" vertical="bottom" wrapText="0"/>
    </xf>
    <xf borderId="3" fillId="2" fontId="11" numFmtId="0" xfId="0" applyAlignment="1" applyBorder="1" applyFont="1">
      <alignment horizontal="left" readingOrder="0"/>
    </xf>
    <xf borderId="7" fillId="0" fontId="11" numFmtId="0" xfId="0" applyBorder="1" applyFont="1"/>
    <xf borderId="6" fillId="2" fontId="11" numFmtId="0" xfId="0" applyAlignment="1" applyBorder="1" applyFont="1">
      <alignment horizontal="left" readingOrder="0"/>
    </xf>
    <xf borderId="9" fillId="2" fontId="11" numFmtId="0" xfId="0" applyAlignment="1" applyBorder="1" applyFont="1">
      <alignment horizontal="left" readingOrder="0"/>
    </xf>
    <xf borderId="1" fillId="0" fontId="0" numFmtId="165" xfId="0" applyAlignment="1" applyBorder="1" applyFont="1" applyNumberFormat="1">
      <alignment horizontal="center" readingOrder="0" shrinkToFit="0" vertical="bottom" wrapText="0"/>
    </xf>
    <xf borderId="1" fillId="0" fontId="11" numFmtId="166" xfId="0" applyAlignment="1" applyBorder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1" fillId="0" fontId="11" numFmtId="165" xfId="0" applyAlignment="1" applyBorder="1" applyFont="1" applyNumberFormat="1">
      <alignment horizontal="center" readingOrder="0"/>
    </xf>
    <xf borderId="0" fillId="0" fontId="11" numFmtId="166" xfId="0" applyAlignment="1" applyFont="1" applyNumberFormat="1">
      <alignment horizontal="center"/>
    </xf>
    <xf borderId="0" fillId="0" fontId="11" numFmtId="166" xfId="0" applyAlignment="1" applyFont="1" applyNumberFormat="1">
      <alignment horizontal="right" readingOrder="0"/>
    </xf>
    <xf borderId="0" fillId="0" fontId="11" numFmtId="166" xfId="0" applyAlignment="1" applyFont="1" applyNumberFormat="1">
      <alignment horizontal="center" readingOrder="0"/>
    </xf>
    <xf borderId="3" fillId="15" fontId="11" numFmtId="166" xfId="0" applyAlignment="1" applyBorder="1" applyFill="1" applyFont="1" applyNumberFormat="1">
      <alignment horizontal="center" readingOrder="0"/>
    </xf>
    <xf borderId="0" fillId="0" fontId="11" numFmtId="1" xfId="0" applyAlignment="1" applyFont="1" applyNumberFormat="1">
      <alignment horizontal="center" readingOrder="0"/>
    </xf>
    <xf borderId="0" fillId="0" fontId="11" numFmtId="2" xfId="0" applyAlignment="1" applyFont="1" applyNumberFormat="1">
      <alignment horizontal="center"/>
    </xf>
    <xf borderId="0" fillId="0" fontId="11" numFmtId="2" xfId="0" applyAlignment="1" applyFont="1" applyNumberFormat="1">
      <alignment horizontal="center" readingOrder="0"/>
    </xf>
    <xf borderId="1" fillId="16" fontId="1" numFmtId="0" xfId="0" applyAlignment="1" applyBorder="1" applyFill="1" applyFont="1">
      <alignment horizontal="center" readingOrder="0"/>
    </xf>
    <xf borderId="1" fillId="0" fontId="11" numFmtId="2" xfId="0" applyAlignment="1" applyBorder="1" applyFont="1" applyNumberFormat="1">
      <alignment horizontal="center"/>
    </xf>
    <xf borderId="1" fillId="0" fontId="11" numFmtId="2" xfId="0" applyAlignment="1" applyBorder="1" applyFont="1" applyNumberFormat="1">
      <alignment horizontal="center" readingOrder="0"/>
    </xf>
    <xf borderId="1" fillId="14" fontId="11" numFmtId="166" xfId="0" applyAlignment="1" applyBorder="1" applyFont="1" applyNumberFormat="1">
      <alignment horizontal="center"/>
    </xf>
    <xf borderId="1" fillId="0" fontId="11" numFmtId="1" xfId="0" applyAlignment="1" applyBorder="1" applyFont="1" applyNumberFormat="1">
      <alignment horizontal="center"/>
    </xf>
    <xf borderId="1" fillId="0" fontId="11" numFmtId="166" xfId="0" applyAlignment="1" applyBorder="1" applyFont="1" applyNumberFormat="1">
      <alignment horizontal="center"/>
    </xf>
    <xf borderId="1" fillId="14" fontId="11" numFmtId="166" xfId="0" applyAlignment="1" applyBorder="1" applyFont="1" applyNumberFormat="1">
      <alignment horizontal="center" readingOrder="0"/>
    </xf>
    <xf borderId="1" fillId="14" fontId="11" numFmtId="0" xfId="0" applyAlignment="1" applyBorder="1" applyFont="1">
      <alignment horizontal="center"/>
    </xf>
    <xf borderId="0" fillId="0" fontId="11" numFmtId="0" xfId="0" applyAlignment="1" applyFont="1">
      <alignment horizontal="right" readingOrder="0"/>
    </xf>
    <xf borderId="0" fillId="0" fontId="13" numFmtId="0" xfId="0" applyAlignment="1" applyFont="1">
      <alignment horizontal="right" readingOrder="0"/>
    </xf>
    <xf borderId="1" fillId="0" fontId="13" numFmtId="1" xfId="0" applyAlignment="1" applyBorder="1" applyFont="1" applyNumberFormat="1">
      <alignment horizontal="center"/>
    </xf>
    <xf borderId="1" fillId="0" fontId="13" numFmtId="2" xfId="0" applyAlignment="1" applyBorder="1" applyFont="1" applyNumberFormat="1">
      <alignment horizontal="center"/>
    </xf>
    <xf borderId="1" fillId="14" fontId="13" numFmtId="0" xfId="0" applyAlignment="1" applyBorder="1" applyFont="1">
      <alignment horizontal="center"/>
    </xf>
    <xf borderId="1" fillId="0" fontId="13" numFmtId="166" xfId="0" applyAlignment="1" applyBorder="1" applyFont="1" applyNumberFormat="1">
      <alignment horizontal="center"/>
    </xf>
    <xf borderId="1" fillId="14" fontId="11" numFmtId="2" xfId="0" applyAlignment="1" applyBorder="1" applyFont="1" applyNumberForma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200025</xdr:rowOff>
    </xdr:from>
    <xdr:ext cx="7172325" cy="32194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witter.com/joseantoniokast/status/1195379524730531840?s=2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4.88"/>
    <col customWidth="1" min="3" max="3" width="12.38"/>
    <col customWidth="1" min="4" max="4" width="12.0"/>
    <col customWidth="1" min="5" max="5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>
      <c r="A2" s="1" t="s">
        <v>5</v>
      </c>
      <c r="B2" s="1" t="s">
        <v>6</v>
      </c>
      <c r="C2" s="3">
        <v>352116.0</v>
      </c>
      <c r="D2" s="3">
        <v>67502.0</v>
      </c>
      <c r="F2" s="1" t="s">
        <v>7</v>
      </c>
    </row>
    <row r="3">
      <c r="A3" s="1" t="s">
        <v>8</v>
      </c>
      <c r="B3" s="1" t="s">
        <v>9</v>
      </c>
      <c r="C3" s="3">
        <v>211412.0</v>
      </c>
      <c r="D3" s="3">
        <v>16816.0</v>
      </c>
      <c r="F3" s="1" t="s">
        <v>10</v>
      </c>
    </row>
    <row r="4">
      <c r="A4" s="1" t="s">
        <v>11</v>
      </c>
      <c r="B4" s="1" t="s">
        <v>12</v>
      </c>
      <c r="C4" s="3">
        <v>160678.0</v>
      </c>
      <c r="D4" s="3">
        <v>8702.0</v>
      </c>
      <c r="F4" s="1" t="s">
        <v>13</v>
      </c>
    </row>
    <row r="5">
      <c r="A5" s="1" t="s">
        <v>14</v>
      </c>
      <c r="B5" s="1" t="s">
        <v>15</v>
      </c>
      <c r="C5" s="3">
        <v>63420.0</v>
      </c>
      <c r="D5" s="3">
        <v>3310.0</v>
      </c>
      <c r="F5" s="1" t="s">
        <v>16</v>
      </c>
    </row>
    <row r="6">
      <c r="A6" s="1" t="s">
        <v>17</v>
      </c>
      <c r="B6" s="1" t="s">
        <v>18</v>
      </c>
      <c r="C6" s="3">
        <v>74684.0</v>
      </c>
      <c r="D6" s="3">
        <v>41098.0</v>
      </c>
      <c r="F6" s="1" t="s">
        <v>19</v>
      </c>
    </row>
    <row r="7">
      <c r="B7" s="4" t="s">
        <v>20</v>
      </c>
      <c r="C7" s="5">
        <f>SUM(C2:C6)</f>
        <v>862310</v>
      </c>
      <c r="D7" s="5">
        <f>SUM(D1:D6)</f>
        <v>137428</v>
      </c>
      <c r="F7" s="2" t="s">
        <v>21</v>
      </c>
    </row>
    <row r="8">
      <c r="B8" s="4" t="s">
        <v>22</v>
      </c>
      <c r="C8" s="3">
        <v>603879.0</v>
      </c>
      <c r="D8" s="3">
        <v>129853.0</v>
      </c>
      <c r="E8" s="6" t="s">
        <v>23</v>
      </c>
      <c r="F8" s="2"/>
    </row>
    <row r="9">
      <c r="A9" s="2" t="s">
        <v>24</v>
      </c>
      <c r="D9" s="1" t="s">
        <v>25</v>
      </c>
      <c r="F9" s="1" t="s">
        <v>26</v>
      </c>
    </row>
    <row r="10">
      <c r="A10" s="1" t="s">
        <v>27</v>
      </c>
      <c r="B10" s="1" t="s">
        <v>28</v>
      </c>
      <c r="F10" s="2" t="s">
        <v>29</v>
      </c>
    </row>
    <row r="11">
      <c r="A11" s="1" t="s">
        <v>30</v>
      </c>
      <c r="B11" s="1" t="s">
        <v>31</v>
      </c>
      <c r="F11" s="1" t="s">
        <v>32</v>
      </c>
    </row>
    <row r="13">
      <c r="A13" s="1" t="s">
        <v>33</v>
      </c>
      <c r="B13" s="7">
        <v>43784.0</v>
      </c>
    </row>
    <row r="14">
      <c r="A14" s="1" t="s">
        <v>34</v>
      </c>
      <c r="B14" s="7">
        <v>44043.0</v>
      </c>
    </row>
    <row r="15">
      <c r="A15" s="1" t="s">
        <v>35</v>
      </c>
      <c r="B15" s="8" t="s">
        <v>36</v>
      </c>
    </row>
    <row r="19">
      <c r="A19" s="1" t="s">
        <v>37</v>
      </c>
      <c r="B19" s="1" t="s">
        <v>38</v>
      </c>
    </row>
    <row r="20">
      <c r="A20" s="1" t="s">
        <v>39</v>
      </c>
    </row>
    <row r="21">
      <c r="A21" s="1" t="s">
        <v>40</v>
      </c>
    </row>
    <row r="22">
      <c r="A22" s="1" t="s">
        <v>41</v>
      </c>
    </row>
  </sheetData>
  <autoFilter ref="$A$1:$D$8">
    <sortState ref="A1:D8">
      <sortCondition descending="1" ref="C1:C8"/>
    </sortState>
  </autoFilter>
  <hyperlinks>
    <hyperlink r:id="rId1" ref="B1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76.38"/>
  </cols>
  <sheetData>
    <row r="1">
      <c r="A1" s="9" t="s">
        <v>42</v>
      </c>
      <c r="B1" s="9" t="s">
        <v>43</v>
      </c>
    </row>
    <row r="2">
      <c r="A2" s="9" t="s">
        <v>44</v>
      </c>
      <c r="B2" s="10" t="s">
        <v>45</v>
      </c>
    </row>
    <row r="3">
      <c r="A3" s="9" t="s">
        <v>46</v>
      </c>
      <c r="B3" s="10" t="s">
        <v>47</v>
      </c>
    </row>
    <row r="4">
      <c r="A4" s="9" t="s">
        <v>48</v>
      </c>
      <c r="B4" s="10" t="s">
        <v>49</v>
      </c>
    </row>
    <row r="5">
      <c r="A5" s="9" t="s">
        <v>50</v>
      </c>
      <c r="B5" s="10" t="s">
        <v>51</v>
      </c>
    </row>
    <row r="6">
      <c r="A6" s="9" t="s">
        <v>52</v>
      </c>
      <c r="B6" s="10" t="s">
        <v>53</v>
      </c>
    </row>
    <row r="7">
      <c r="A7" s="9" t="s">
        <v>54</v>
      </c>
      <c r="B7" s="10" t="s">
        <v>55</v>
      </c>
    </row>
    <row r="8">
      <c r="A8" s="9" t="s">
        <v>56</v>
      </c>
      <c r="B8" s="10" t="s">
        <v>57</v>
      </c>
    </row>
    <row r="9">
      <c r="A9" s="9" t="s">
        <v>58</v>
      </c>
      <c r="B9" s="10" t="s">
        <v>59</v>
      </c>
    </row>
    <row r="10">
      <c r="A10" s="9" t="s">
        <v>60</v>
      </c>
      <c r="B10" s="10" t="s">
        <v>61</v>
      </c>
    </row>
    <row r="11">
      <c r="A11" s="9" t="s">
        <v>62</v>
      </c>
      <c r="B11" s="10" t="s">
        <v>63</v>
      </c>
    </row>
    <row r="12">
      <c r="A12" s="9" t="s">
        <v>64</v>
      </c>
      <c r="B12" s="10" t="s">
        <v>65</v>
      </c>
    </row>
    <row r="13">
      <c r="A13" s="9" t="s">
        <v>66</v>
      </c>
      <c r="B13" s="10" t="s">
        <v>67</v>
      </c>
    </row>
    <row r="14">
      <c r="A14" s="9" t="s">
        <v>68</v>
      </c>
      <c r="B14" s="10" t="s">
        <v>69</v>
      </c>
    </row>
    <row r="15">
      <c r="A15" s="9" t="s">
        <v>70</v>
      </c>
      <c r="B15" s="10" t="s">
        <v>71</v>
      </c>
    </row>
    <row r="16">
      <c r="A16" s="9" t="s">
        <v>72</v>
      </c>
      <c r="B16" s="10" t="s">
        <v>73</v>
      </c>
    </row>
    <row r="17">
      <c r="A17" s="9" t="s">
        <v>74</v>
      </c>
      <c r="B17" s="10" t="s">
        <v>75</v>
      </c>
    </row>
    <row r="18">
      <c r="A18" s="9" t="s">
        <v>76</v>
      </c>
      <c r="B18" s="10" t="s">
        <v>77</v>
      </c>
    </row>
    <row r="19">
      <c r="A19" s="9" t="s">
        <v>78</v>
      </c>
      <c r="B19" s="10" t="s">
        <v>79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56.5"/>
  </cols>
  <sheetData>
    <row r="1">
      <c r="A1" s="9" t="s">
        <v>80</v>
      </c>
      <c r="B1" s="9" t="s">
        <v>43</v>
      </c>
    </row>
    <row r="2">
      <c r="A2" s="9" t="s">
        <v>60</v>
      </c>
      <c r="B2" s="10" t="s">
        <v>61</v>
      </c>
    </row>
    <row r="3">
      <c r="A3" s="9" t="s">
        <v>48</v>
      </c>
      <c r="B3" s="10" t="s">
        <v>49</v>
      </c>
    </row>
    <row r="4">
      <c r="A4" s="9" t="s">
        <v>81</v>
      </c>
      <c r="B4" s="10" t="s">
        <v>45</v>
      </c>
    </row>
    <row r="5">
      <c r="A5" s="9" t="s">
        <v>78</v>
      </c>
      <c r="B5" s="10" t="s">
        <v>79</v>
      </c>
    </row>
    <row r="6">
      <c r="A6" s="9" t="s">
        <v>82</v>
      </c>
      <c r="B6" s="10" t="s">
        <v>83</v>
      </c>
    </row>
    <row r="7">
      <c r="A7" s="9" t="s">
        <v>84</v>
      </c>
      <c r="B7" s="10" t="s">
        <v>85</v>
      </c>
    </row>
    <row r="8">
      <c r="A8" s="9" t="s">
        <v>86</v>
      </c>
      <c r="B8" s="10" t="s">
        <v>87</v>
      </c>
    </row>
    <row r="9">
      <c r="A9" s="9" t="s">
        <v>88</v>
      </c>
      <c r="B9" s="10" t="s">
        <v>89</v>
      </c>
    </row>
    <row r="10">
      <c r="A10" s="9" t="s">
        <v>90</v>
      </c>
      <c r="B10" s="10" t="s">
        <v>91</v>
      </c>
    </row>
    <row r="11">
      <c r="A11" s="9" t="s">
        <v>92</v>
      </c>
      <c r="B11" s="10" t="s">
        <v>93</v>
      </c>
    </row>
    <row r="12">
      <c r="A12" s="9" t="s">
        <v>94</v>
      </c>
      <c r="B12" s="10" t="s">
        <v>95</v>
      </c>
    </row>
    <row r="13">
      <c r="A13" s="9" t="s">
        <v>96</v>
      </c>
      <c r="B13" s="10" t="s">
        <v>97</v>
      </c>
    </row>
    <row r="14">
      <c r="A14" s="9" t="s">
        <v>98</v>
      </c>
      <c r="B14" s="10" t="s">
        <v>99</v>
      </c>
    </row>
    <row r="15">
      <c r="A15" s="9" t="s">
        <v>100</v>
      </c>
      <c r="B15" s="10" t="s">
        <v>101</v>
      </c>
    </row>
    <row r="16">
      <c r="A16" s="9" t="s">
        <v>102</v>
      </c>
      <c r="B16" s="10" t="s">
        <v>103</v>
      </c>
    </row>
    <row r="17">
      <c r="A17" s="9" t="s">
        <v>104</v>
      </c>
      <c r="B17" s="10" t="s">
        <v>105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5.88"/>
    <col customWidth="1" min="9" max="9" width="11.88"/>
    <col customWidth="1" min="10" max="10" width="39.5"/>
  </cols>
  <sheetData>
    <row r="1">
      <c r="A1" s="2" t="s">
        <v>106</v>
      </c>
    </row>
    <row r="2">
      <c r="I2" s="2" t="s">
        <v>107</v>
      </c>
      <c r="J2" s="2" t="s">
        <v>108</v>
      </c>
    </row>
    <row r="3">
      <c r="I3" s="11" t="s">
        <v>109</v>
      </c>
      <c r="J3" s="11" t="s">
        <v>110</v>
      </c>
      <c r="K3" s="12"/>
    </row>
    <row r="4">
      <c r="I4" s="11" t="s">
        <v>111</v>
      </c>
      <c r="J4" s="11" t="s">
        <v>112</v>
      </c>
    </row>
    <row r="5">
      <c r="I5" s="11" t="s">
        <v>113</v>
      </c>
      <c r="J5" s="11" t="s">
        <v>114</v>
      </c>
    </row>
    <row r="6">
      <c r="I6" s="11" t="s">
        <v>115</v>
      </c>
      <c r="J6" s="11" t="s">
        <v>116</v>
      </c>
    </row>
    <row r="7">
      <c r="I7" s="11" t="s">
        <v>117</v>
      </c>
      <c r="J7" s="13" t="s">
        <v>118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7.0"/>
    <col customWidth="1" min="3" max="3" width="19.38"/>
    <col customWidth="1" min="4" max="4" width="11.38"/>
    <col customWidth="1" min="5" max="5" width="19.0"/>
    <col customWidth="1" min="6" max="6" width="20.5"/>
    <col customWidth="1" min="7" max="7" width="10.0"/>
    <col customWidth="1" min="8" max="8" width="26.0"/>
    <col customWidth="1" min="9" max="9" width="16.38"/>
    <col customWidth="1" min="10" max="10" width="30.38"/>
  </cols>
  <sheetData>
    <row r="1">
      <c r="A1" s="14" t="s">
        <v>119</v>
      </c>
      <c r="B1" s="15" t="s">
        <v>120</v>
      </c>
      <c r="C1" s="14" t="s">
        <v>121</v>
      </c>
      <c r="D1" s="14" t="s">
        <v>122</v>
      </c>
      <c r="E1" s="14" t="s">
        <v>123</v>
      </c>
      <c r="F1" s="14" t="s">
        <v>124</v>
      </c>
      <c r="G1" s="16" t="s">
        <v>125</v>
      </c>
      <c r="H1" s="16" t="s">
        <v>21</v>
      </c>
      <c r="I1" s="17" t="s">
        <v>126</v>
      </c>
      <c r="J1" s="17" t="s">
        <v>127</v>
      </c>
      <c r="K1" s="17" t="s">
        <v>128</v>
      </c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2">
      <c r="A2" s="14" t="s">
        <v>129</v>
      </c>
      <c r="B2" s="15">
        <v>2020.0</v>
      </c>
      <c r="C2" s="14" t="s">
        <v>130</v>
      </c>
      <c r="D2" s="14" t="s">
        <v>131</v>
      </c>
      <c r="E2" s="14" t="s">
        <v>132</v>
      </c>
      <c r="F2" s="14" t="s">
        <v>133</v>
      </c>
      <c r="G2" s="14" t="s">
        <v>134</v>
      </c>
      <c r="H2" s="14" t="s">
        <v>134</v>
      </c>
      <c r="I2" s="14" t="s">
        <v>134</v>
      </c>
      <c r="J2" s="14" t="s">
        <v>134</v>
      </c>
      <c r="K2" s="14" t="s">
        <v>134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>
      <c r="A3" s="14" t="s">
        <v>135</v>
      </c>
      <c r="B3" s="15">
        <v>2020.0</v>
      </c>
      <c r="C3" s="14" t="s">
        <v>136</v>
      </c>
      <c r="D3" s="14" t="s">
        <v>137</v>
      </c>
      <c r="E3" s="14" t="s">
        <v>138</v>
      </c>
      <c r="F3" s="14" t="s">
        <v>139</v>
      </c>
      <c r="G3" s="14" t="s">
        <v>140</v>
      </c>
      <c r="H3" s="19" t="s">
        <v>141</v>
      </c>
      <c r="I3" s="14" t="s">
        <v>142</v>
      </c>
      <c r="J3" s="19" t="s">
        <v>143</v>
      </c>
      <c r="K3" s="14" t="s">
        <v>144</v>
      </c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>
      <c r="A4" s="14" t="s">
        <v>145</v>
      </c>
      <c r="B4" s="15">
        <v>2020.0</v>
      </c>
      <c r="C4" s="14" t="s">
        <v>146</v>
      </c>
      <c r="D4" s="14" t="s">
        <v>147</v>
      </c>
      <c r="E4" s="14" t="s">
        <v>148</v>
      </c>
      <c r="F4" s="14" t="s">
        <v>149</v>
      </c>
      <c r="G4" s="14" t="s">
        <v>140</v>
      </c>
      <c r="H4" s="14" t="s">
        <v>150</v>
      </c>
      <c r="I4" s="14" t="s">
        <v>142</v>
      </c>
      <c r="J4" s="20" t="s">
        <v>151</v>
      </c>
      <c r="K4" s="14" t="s">
        <v>152</v>
      </c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</row>
    <row r="5">
      <c r="A5" s="14" t="s">
        <v>153</v>
      </c>
      <c r="B5" s="15">
        <v>2020.0</v>
      </c>
      <c r="C5" s="14" t="s">
        <v>154</v>
      </c>
      <c r="D5" s="14" t="s">
        <v>155</v>
      </c>
      <c r="E5" s="14" t="s">
        <v>156</v>
      </c>
      <c r="F5" s="14" t="s">
        <v>157</v>
      </c>
      <c r="G5" s="14" t="s">
        <v>140</v>
      </c>
      <c r="H5" s="14" t="s">
        <v>158</v>
      </c>
      <c r="I5" s="14" t="s">
        <v>159</v>
      </c>
      <c r="J5" s="21" t="s">
        <v>160</v>
      </c>
      <c r="K5" s="14" t="s">
        <v>161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</row>
    <row r="6">
      <c r="A6" s="14" t="s">
        <v>162</v>
      </c>
      <c r="B6" s="15">
        <v>2020.0</v>
      </c>
      <c r="C6" s="14" t="s">
        <v>163</v>
      </c>
      <c r="D6" s="14" t="s">
        <v>164</v>
      </c>
      <c r="E6" s="14" t="s">
        <v>165</v>
      </c>
      <c r="F6" s="14" t="s">
        <v>166</v>
      </c>
      <c r="G6" s="14" t="s">
        <v>134</v>
      </c>
      <c r="H6" s="14" t="s">
        <v>134</v>
      </c>
      <c r="I6" s="14" t="s">
        <v>134</v>
      </c>
      <c r="J6" s="14" t="s">
        <v>134</v>
      </c>
      <c r="K6" s="14" t="s">
        <v>134</v>
      </c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</row>
    <row r="7">
      <c r="A7" s="14" t="s">
        <v>167</v>
      </c>
      <c r="B7" s="15">
        <v>2020.0</v>
      </c>
      <c r="C7" s="14" t="s">
        <v>168</v>
      </c>
      <c r="D7" s="14" t="s">
        <v>169</v>
      </c>
      <c r="E7" s="14" t="s">
        <v>170</v>
      </c>
      <c r="F7" s="14" t="s">
        <v>171</v>
      </c>
      <c r="G7" s="14" t="s">
        <v>140</v>
      </c>
      <c r="H7" s="14" t="s">
        <v>172</v>
      </c>
      <c r="I7" s="14" t="s">
        <v>142</v>
      </c>
      <c r="J7" s="14" t="s">
        <v>173</v>
      </c>
      <c r="K7" s="14" t="s">
        <v>152</v>
      </c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</row>
    <row r="8">
      <c r="A8" s="14" t="s">
        <v>174</v>
      </c>
      <c r="B8" s="15">
        <v>2020.0</v>
      </c>
      <c r="C8" s="14" t="s">
        <v>175</v>
      </c>
      <c r="D8" s="14" t="s">
        <v>176</v>
      </c>
      <c r="E8" s="14" t="s">
        <v>177</v>
      </c>
      <c r="F8" s="14" t="s">
        <v>178</v>
      </c>
      <c r="G8" s="14" t="s">
        <v>140</v>
      </c>
      <c r="H8" s="14" t="s">
        <v>179</v>
      </c>
      <c r="I8" s="14" t="s">
        <v>142</v>
      </c>
      <c r="J8" s="22" t="s">
        <v>180</v>
      </c>
      <c r="K8" s="14" t="s">
        <v>152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>
      <c r="A9" s="14" t="s">
        <v>181</v>
      </c>
      <c r="B9" s="15">
        <v>2020.0</v>
      </c>
      <c r="C9" s="14" t="s">
        <v>182</v>
      </c>
      <c r="D9" s="14" t="s">
        <v>183</v>
      </c>
      <c r="E9" s="14" t="s">
        <v>184</v>
      </c>
      <c r="F9" s="14" t="s">
        <v>149</v>
      </c>
      <c r="G9" s="14" t="s">
        <v>140</v>
      </c>
      <c r="H9" s="23" t="s">
        <v>185</v>
      </c>
      <c r="I9" s="14" t="s">
        <v>142</v>
      </c>
      <c r="J9" s="24" t="s">
        <v>186</v>
      </c>
      <c r="K9" s="14" t="s">
        <v>187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>
      <c r="A10" s="14" t="s">
        <v>188</v>
      </c>
      <c r="B10" s="15">
        <v>2019.0</v>
      </c>
      <c r="C10" s="14" t="s">
        <v>189</v>
      </c>
      <c r="D10" s="14" t="s">
        <v>190</v>
      </c>
      <c r="E10" s="14" t="s">
        <v>191</v>
      </c>
      <c r="F10" s="14" t="s">
        <v>192</v>
      </c>
      <c r="G10" s="14" t="s">
        <v>140</v>
      </c>
      <c r="H10" s="14" t="s">
        <v>193</v>
      </c>
      <c r="I10" s="14" t="s">
        <v>142</v>
      </c>
      <c r="J10" s="14" t="s">
        <v>194</v>
      </c>
      <c r="K10" s="14" t="s">
        <v>152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>
      <c r="A11" s="14" t="s">
        <v>195</v>
      </c>
      <c r="B11" s="15">
        <v>2019.0</v>
      </c>
      <c r="C11" s="14" t="s">
        <v>196</v>
      </c>
      <c r="D11" s="14" t="s">
        <v>197</v>
      </c>
      <c r="E11" s="14" t="s">
        <v>198</v>
      </c>
      <c r="F11" s="14" t="s">
        <v>178</v>
      </c>
      <c r="G11" s="14" t="s">
        <v>134</v>
      </c>
      <c r="H11" s="14" t="s">
        <v>134</v>
      </c>
      <c r="I11" s="14" t="s">
        <v>134</v>
      </c>
      <c r="J11" s="14" t="s">
        <v>134</v>
      </c>
      <c r="K11" s="14" t="s">
        <v>134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</row>
    <row r="12">
      <c r="A12" s="25" t="s">
        <v>199</v>
      </c>
      <c r="B12" s="26">
        <v>2019.0</v>
      </c>
      <c r="C12" s="25" t="s">
        <v>200</v>
      </c>
      <c r="D12" s="25" t="s">
        <v>201</v>
      </c>
      <c r="E12" s="25" t="s">
        <v>202</v>
      </c>
      <c r="F12" s="25" t="s">
        <v>203</v>
      </c>
      <c r="G12" s="25" t="s">
        <v>140</v>
      </c>
      <c r="H12" s="25" t="s">
        <v>204</v>
      </c>
      <c r="I12" s="25" t="s">
        <v>142</v>
      </c>
      <c r="J12" s="14" t="s">
        <v>205</v>
      </c>
      <c r="K12" s="14" t="s">
        <v>152</v>
      </c>
      <c r="L12" s="14" t="s">
        <v>206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>
      <c r="A13" s="14" t="s">
        <v>207</v>
      </c>
      <c r="B13" s="15">
        <v>2018.0</v>
      </c>
      <c r="C13" s="14" t="s">
        <v>208</v>
      </c>
      <c r="D13" s="14" t="s">
        <v>209</v>
      </c>
      <c r="E13" s="14" t="s">
        <v>210</v>
      </c>
      <c r="F13" s="14" t="s">
        <v>178</v>
      </c>
      <c r="G13" s="14" t="s">
        <v>140</v>
      </c>
      <c r="H13" s="23" t="s">
        <v>211</v>
      </c>
      <c r="I13" s="14" t="s">
        <v>142</v>
      </c>
      <c r="J13" s="27" t="s">
        <v>212</v>
      </c>
      <c r="K13" s="14" t="s">
        <v>213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>
      <c r="A14" s="14" t="s">
        <v>214</v>
      </c>
      <c r="B14" s="15">
        <v>2018.0</v>
      </c>
      <c r="C14" s="14" t="s">
        <v>215</v>
      </c>
      <c r="D14" s="14" t="s">
        <v>216</v>
      </c>
      <c r="E14" s="14" t="s">
        <v>217</v>
      </c>
      <c r="F14" s="14" t="s">
        <v>218</v>
      </c>
      <c r="G14" s="14" t="s">
        <v>140</v>
      </c>
      <c r="H14" s="14" t="s">
        <v>219</v>
      </c>
      <c r="I14" s="14" t="s">
        <v>220</v>
      </c>
      <c r="J14" s="14" t="s">
        <v>221</v>
      </c>
      <c r="K14" s="14" t="s">
        <v>222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>
      <c r="A15" s="14" t="s">
        <v>223</v>
      </c>
      <c r="B15" s="15">
        <v>2017.0</v>
      </c>
      <c r="C15" s="19" t="s">
        <v>224</v>
      </c>
      <c r="D15" s="19" t="s">
        <v>225</v>
      </c>
      <c r="E15" s="19" t="s">
        <v>226</v>
      </c>
      <c r="F15" s="14" t="s">
        <v>227</v>
      </c>
      <c r="G15" s="14" t="s">
        <v>140</v>
      </c>
      <c r="H15" s="23" t="s">
        <v>185</v>
      </c>
      <c r="I15" s="14" t="s">
        <v>142</v>
      </c>
      <c r="J15" s="14" t="s">
        <v>228</v>
      </c>
      <c r="K15" s="14" t="s">
        <v>229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>
      <c r="A16" s="14"/>
      <c r="B16" s="15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>
      <c r="A17" s="14"/>
      <c r="B17" s="2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</row>
    <row r="18">
      <c r="A18" s="18"/>
      <c r="B18" s="2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>
      <c r="A19" s="18"/>
      <c r="B19" s="2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</row>
    <row r="20">
      <c r="A20" s="18"/>
      <c r="B20" s="2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>
      <c r="A21" s="18"/>
      <c r="B21" s="2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>
      <c r="A22" s="18"/>
      <c r="B22" s="2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</row>
    <row r="23">
      <c r="A23" s="18"/>
      <c r="B23" s="2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>
      <c r="A24" s="18"/>
      <c r="B24" s="2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</row>
    <row r="25">
      <c r="A25" s="18"/>
      <c r="B25" s="2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>
      <c r="A26" s="18"/>
      <c r="B26" s="2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>
      <c r="A27" s="18"/>
      <c r="B27" s="2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>
      <c r="A28" s="18"/>
      <c r="B28" s="2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</row>
    <row r="29">
      <c r="A29" s="18"/>
      <c r="B29" s="2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</row>
    <row r="30">
      <c r="A30" s="18"/>
      <c r="B30" s="2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</row>
    <row r="31">
      <c r="A31" s="18"/>
      <c r="B31" s="2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</row>
    <row r="32">
      <c r="A32" s="18"/>
      <c r="B32" s="2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</row>
    <row r="33">
      <c r="A33" s="18"/>
      <c r="B33" s="2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</row>
    <row r="34">
      <c r="A34" s="18"/>
      <c r="B34" s="2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</row>
    <row r="35">
      <c r="A35" s="18"/>
      <c r="B35" s="2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</row>
    <row r="36">
      <c r="A36" s="18"/>
      <c r="B36" s="2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</row>
    <row r="37">
      <c r="A37" s="18"/>
      <c r="B37" s="2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</row>
    <row r="38">
      <c r="A38" s="18"/>
      <c r="B38" s="2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</row>
    <row r="39">
      <c r="A39" s="18"/>
      <c r="B39" s="2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</row>
    <row r="40">
      <c r="A40" s="18"/>
      <c r="B40" s="2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</row>
    <row r="41">
      <c r="A41" s="18"/>
      <c r="B41" s="2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</row>
    <row r="42">
      <c r="A42" s="18"/>
      <c r="B42" s="2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</row>
    <row r="43">
      <c r="A43" s="18"/>
      <c r="B43" s="2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</row>
    <row r="44">
      <c r="A44" s="18"/>
      <c r="B44" s="2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</row>
    <row r="45">
      <c r="A45" s="18"/>
      <c r="B45" s="2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</row>
    <row r="46">
      <c r="A46" s="18"/>
      <c r="B46" s="2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</row>
    <row r="47">
      <c r="A47" s="18"/>
      <c r="B47" s="2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</row>
    <row r="48">
      <c r="A48" s="18"/>
      <c r="B48" s="2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</row>
    <row r="49">
      <c r="A49" s="18"/>
      <c r="B49" s="2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</row>
    <row r="50">
      <c r="A50" s="18"/>
      <c r="B50" s="2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</row>
    <row r="51">
      <c r="A51" s="18"/>
      <c r="B51" s="2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</row>
    <row r="52">
      <c r="A52" s="18"/>
      <c r="B52" s="2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</row>
    <row r="53">
      <c r="A53" s="18"/>
      <c r="B53" s="2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</row>
    <row r="54">
      <c r="A54" s="18"/>
      <c r="B54" s="2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</row>
    <row r="55">
      <c r="A55" s="18"/>
      <c r="B55" s="2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</row>
    <row r="56">
      <c r="A56" s="18"/>
      <c r="B56" s="2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</row>
    <row r="57">
      <c r="A57" s="18"/>
      <c r="B57" s="2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</row>
    <row r="58">
      <c r="A58" s="18"/>
      <c r="B58" s="2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</row>
    <row r="59">
      <c r="A59" s="18"/>
      <c r="B59" s="2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</row>
    <row r="60">
      <c r="A60" s="18"/>
      <c r="B60" s="2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</row>
    <row r="61">
      <c r="A61" s="18"/>
      <c r="B61" s="2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</row>
    <row r="62">
      <c r="A62" s="18"/>
      <c r="B62" s="2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</row>
    <row r="63">
      <c r="A63" s="18"/>
      <c r="B63" s="2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</row>
    <row r="64">
      <c r="A64" s="18"/>
      <c r="B64" s="2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</row>
    <row r="65">
      <c r="A65" s="18"/>
      <c r="B65" s="2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</row>
    <row r="66">
      <c r="A66" s="18"/>
      <c r="B66" s="2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</row>
    <row r="67">
      <c r="A67" s="18"/>
      <c r="B67" s="2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</row>
    <row r="68">
      <c r="A68" s="18"/>
      <c r="B68" s="2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</row>
    <row r="69">
      <c r="A69" s="18"/>
      <c r="B69" s="2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</row>
    <row r="70">
      <c r="A70" s="18"/>
      <c r="B70" s="2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</row>
    <row r="71">
      <c r="A71" s="18"/>
      <c r="B71" s="2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>
      <c r="A72" s="18"/>
      <c r="B72" s="2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</row>
    <row r="73">
      <c r="A73" s="18"/>
      <c r="B73" s="2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>
      <c r="A74" s="18"/>
      <c r="B74" s="2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</row>
    <row r="75">
      <c r="A75" s="18"/>
      <c r="B75" s="2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</row>
    <row r="76">
      <c r="A76" s="18"/>
      <c r="B76" s="2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</row>
    <row r="77">
      <c r="A77" s="18"/>
      <c r="B77" s="2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</row>
    <row r="78">
      <c r="A78" s="18"/>
      <c r="B78" s="2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</row>
    <row r="79">
      <c r="A79" s="18"/>
      <c r="B79" s="2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</row>
    <row r="80">
      <c r="A80" s="18"/>
      <c r="B80" s="2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</row>
    <row r="81">
      <c r="A81" s="18"/>
      <c r="B81" s="2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</row>
    <row r="82">
      <c r="A82" s="18"/>
      <c r="B82" s="2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</row>
    <row r="83">
      <c r="A83" s="18"/>
      <c r="B83" s="2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</row>
    <row r="84">
      <c r="A84" s="18"/>
      <c r="B84" s="2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</row>
    <row r="85">
      <c r="A85" s="18"/>
      <c r="B85" s="2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</row>
    <row r="86">
      <c r="A86" s="18"/>
      <c r="B86" s="2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</row>
    <row r="87">
      <c r="A87" s="18"/>
      <c r="B87" s="2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</row>
    <row r="88">
      <c r="A88" s="18"/>
      <c r="B88" s="2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</row>
    <row r="89">
      <c r="A89" s="18"/>
      <c r="B89" s="2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</row>
    <row r="90">
      <c r="A90" s="18"/>
      <c r="B90" s="2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</row>
    <row r="91">
      <c r="A91" s="18"/>
      <c r="B91" s="2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</row>
    <row r="92">
      <c r="A92" s="18"/>
      <c r="B92" s="2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</row>
    <row r="93">
      <c r="A93" s="18"/>
      <c r="B93" s="2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</row>
    <row r="94">
      <c r="A94" s="18"/>
      <c r="B94" s="2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</row>
    <row r="95">
      <c r="A95" s="18"/>
      <c r="B95" s="2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</row>
    <row r="96">
      <c r="A96" s="18"/>
      <c r="B96" s="2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</row>
    <row r="97">
      <c r="A97" s="18"/>
      <c r="B97" s="2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</row>
    <row r="98">
      <c r="A98" s="18"/>
      <c r="B98" s="2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</row>
    <row r="99">
      <c r="A99" s="18"/>
      <c r="B99" s="2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</row>
    <row r="100">
      <c r="A100" s="18"/>
      <c r="B100" s="2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</row>
    <row r="101">
      <c r="A101" s="18"/>
      <c r="B101" s="2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</row>
    <row r="102">
      <c r="A102" s="18"/>
      <c r="B102" s="2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</row>
    <row r="103">
      <c r="A103" s="18"/>
      <c r="B103" s="2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</row>
    <row r="104">
      <c r="A104" s="18"/>
      <c r="B104" s="2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>
      <c r="A105" s="18"/>
      <c r="B105" s="2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</row>
    <row r="106">
      <c r="A106" s="18"/>
      <c r="B106" s="2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</row>
    <row r="107">
      <c r="A107" s="18"/>
      <c r="B107" s="2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</row>
    <row r="108">
      <c r="A108" s="18"/>
      <c r="B108" s="2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</row>
    <row r="109">
      <c r="A109" s="18"/>
      <c r="B109" s="2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</row>
    <row r="110">
      <c r="A110" s="18"/>
      <c r="B110" s="2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</row>
    <row r="111">
      <c r="A111" s="18"/>
      <c r="B111" s="2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</row>
    <row r="112">
      <c r="A112" s="18"/>
      <c r="B112" s="2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</row>
    <row r="113">
      <c r="A113" s="18"/>
      <c r="B113" s="2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</row>
    <row r="114">
      <c r="A114" s="18"/>
      <c r="B114" s="2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</row>
    <row r="115">
      <c r="A115" s="18"/>
      <c r="B115" s="2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</row>
    <row r="116">
      <c r="A116" s="18"/>
      <c r="B116" s="2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</row>
    <row r="117">
      <c r="A117" s="18"/>
      <c r="B117" s="2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</row>
    <row r="118">
      <c r="A118" s="18"/>
      <c r="B118" s="2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</row>
    <row r="119">
      <c r="A119" s="18"/>
      <c r="B119" s="2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</row>
    <row r="120">
      <c r="A120" s="18"/>
      <c r="B120" s="2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</row>
    <row r="121">
      <c r="A121" s="18"/>
      <c r="B121" s="2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</row>
    <row r="122">
      <c r="A122" s="18"/>
      <c r="B122" s="2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</row>
    <row r="123">
      <c r="A123" s="18"/>
      <c r="B123" s="2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</row>
    <row r="124">
      <c r="A124" s="18"/>
      <c r="B124" s="2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</row>
    <row r="125">
      <c r="A125" s="18"/>
      <c r="B125" s="2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</row>
    <row r="126">
      <c r="A126" s="18"/>
      <c r="B126" s="2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</row>
    <row r="127">
      <c r="A127" s="18"/>
      <c r="B127" s="2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</row>
    <row r="128">
      <c r="A128" s="18"/>
      <c r="B128" s="2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</row>
    <row r="129">
      <c r="A129" s="18"/>
      <c r="B129" s="2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</row>
    <row r="130">
      <c r="A130" s="18"/>
      <c r="B130" s="2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</row>
    <row r="131">
      <c r="A131" s="18"/>
      <c r="B131" s="2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</row>
    <row r="132">
      <c r="A132" s="18"/>
      <c r="B132" s="2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</row>
    <row r="133">
      <c r="A133" s="18"/>
      <c r="B133" s="2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</row>
    <row r="134">
      <c r="A134" s="18"/>
      <c r="B134" s="2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</row>
    <row r="135">
      <c r="A135" s="18"/>
      <c r="B135" s="2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</row>
    <row r="136">
      <c r="A136" s="18"/>
      <c r="B136" s="2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</row>
    <row r="137">
      <c r="A137" s="18"/>
      <c r="B137" s="2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</row>
    <row r="138">
      <c r="A138" s="18"/>
      <c r="B138" s="2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</row>
    <row r="139">
      <c r="A139" s="18"/>
      <c r="B139" s="2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</row>
    <row r="140">
      <c r="A140" s="18"/>
      <c r="B140" s="2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</row>
    <row r="141">
      <c r="A141" s="18"/>
      <c r="B141" s="2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</row>
    <row r="142">
      <c r="A142" s="18"/>
      <c r="B142" s="2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</row>
    <row r="143">
      <c r="A143" s="18"/>
      <c r="B143" s="2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</row>
    <row r="144">
      <c r="A144" s="18"/>
      <c r="B144" s="2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</row>
    <row r="145">
      <c r="A145" s="18"/>
      <c r="B145" s="2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</row>
    <row r="146">
      <c r="A146" s="18"/>
      <c r="B146" s="2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</row>
    <row r="147">
      <c r="A147" s="18"/>
      <c r="B147" s="2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</row>
    <row r="148">
      <c r="A148" s="18"/>
      <c r="B148" s="2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</row>
    <row r="149">
      <c r="A149" s="18"/>
      <c r="B149" s="2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</row>
    <row r="150">
      <c r="A150" s="18"/>
      <c r="B150" s="2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</row>
    <row r="151">
      <c r="A151" s="18"/>
      <c r="B151" s="2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</row>
    <row r="152">
      <c r="A152" s="18"/>
      <c r="B152" s="2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</row>
    <row r="153">
      <c r="A153" s="18"/>
      <c r="B153" s="2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</row>
    <row r="154">
      <c r="A154" s="18"/>
      <c r="B154" s="2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</row>
    <row r="155">
      <c r="A155" s="18"/>
      <c r="B155" s="2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</row>
    <row r="156">
      <c r="A156" s="18"/>
      <c r="B156" s="2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</row>
    <row r="157">
      <c r="A157" s="18"/>
      <c r="B157" s="2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</row>
    <row r="158">
      <c r="A158" s="18"/>
      <c r="B158" s="2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</row>
    <row r="159">
      <c r="A159" s="18"/>
      <c r="B159" s="2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</row>
    <row r="160">
      <c r="A160" s="18"/>
      <c r="B160" s="2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</row>
    <row r="161">
      <c r="A161" s="18"/>
      <c r="B161" s="2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</row>
    <row r="162">
      <c r="A162" s="18"/>
      <c r="B162" s="2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</row>
    <row r="163">
      <c r="A163" s="18"/>
      <c r="B163" s="2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</row>
    <row r="164">
      <c r="A164" s="18"/>
      <c r="B164" s="2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</row>
    <row r="165">
      <c r="A165" s="18"/>
      <c r="B165" s="2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</row>
    <row r="166">
      <c r="A166" s="18"/>
      <c r="B166" s="2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</row>
    <row r="167">
      <c r="A167" s="18"/>
      <c r="B167" s="2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</row>
    <row r="168">
      <c r="A168" s="18"/>
      <c r="B168" s="2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</row>
    <row r="169">
      <c r="A169" s="18"/>
      <c r="B169" s="2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</row>
    <row r="170">
      <c r="A170" s="18"/>
      <c r="B170" s="2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</row>
    <row r="171">
      <c r="A171" s="18"/>
      <c r="B171" s="2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</row>
    <row r="172">
      <c r="A172" s="18"/>
      <c r="B172" s="2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</row>
    <row r="173">
      <c r="A173" s="18"/>
      <c r="B173" s="2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</row>
    <row r="174">
      <c r="A174" s="18"/>
      <c r="B174" s="2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</row>
    <row r="175">
      <c r="A175" s="18"/>
      <c r="B175" s="2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</row>
    <row r="176">
      <c r="A176" s="18"/>
      <c r="B176" s="2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</row>
    <row r="177">
      <c r="A177" s="18"/>
      <c r="B177" s="2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</row>
    <row r="178">
      <c r="A178" s="18"/>
      <c r="B178" s="2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</row>
    <row r="179">
      <c r="A179" s="18"/>
      <c r="B179" s="2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</row>
    <row r="180">
      <c r="A180" s="18"/>
      <c r="B180" s="2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</row>
    <row r="181">
      <c r="A181" s="18"/>
      <c r="B181" s="2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</row>
    <row r="182">
      <c r="A182" s="18"/>
      <c r="B182" s="2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</row>
    <row r="183">
      <c r="A183" s="18"/>
      <c r="B183" s="2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</row>
    <row r="184">
      <c r="A184" s="18"/>
      <c r="B184" s="2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</row>
    <row r="185">
      <c r="A185" s="18"/>
      <c r="B185" s="2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</row>
    <row r="186">
      <c r="A186" s="18"/>
      <c r="B186" s="2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</row>
    <row r="187">
      <c r="A187" s="18"/>
      <c r="B187" s="2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</row>
    <row r="188">
      <c r="A188" s="18"/>
      <c r="B188" s="2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</row>
    <row r="189">
      <c r="A189" s="18"/>
      <c r="B189" s="2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</row>
    <row r="190">
      <c r="A190" s="18"/>
      <c r="B190" s="2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</row>
    <row r="191">
      <c r="A191" s="18"/>
      <c r="B191" s="2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</row>
    <row r="192">
      <c r="A192" s="18"/>
      <c r="B192" s="2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</row>
    <row r="193">
      <c r="A193" s="18"/>
      <c r="B193" s="2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</row>
    <row r="194">
      <c r="A194" s="18"/>
      <c r="B194" s="2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</row>
    <row r="195">
      <c r="A195" s="18"/>
      <c r="B195" s="2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</row>
    <row r="196">
      <c r="A196" s="18"/>
      <c r="B196" s="2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</row>
    <row r="197">
      <c r="A197" s="18"/>
      <c r="B197" s="2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</row>
    <row r="198">
      <c r="A198" s="18"/>
      <c r="B198" s="2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</row>
    <row r="199">
      <c r="A199" s="18"/>
      <c r="B199" s="2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</row>
    <row r="200">
      <c r="A200" s="18"/>
      <c r="B200" s="2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</row>
    <row r="201">
      <c r="A201" s="18"/>
      <c r="B201" s="2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</row>
    <row r="202">
      <c r="A202" s="18"/>
      <c r="B202" s="2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</row>
    <row r="203">
      <c r="A203" s="18"/>
      <c r="B203" s="2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</row>
    <row r="204">
      <c r="A204" s="18"/>
      <c r="B204" s="2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</row>
    <row r="205">
      <c r="A205" s="18"/>
      <c r="B205" s="2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</row>
    <row r="206">
      <c r="A206" s="18"/>
      <c r="B206" s="2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</row>
    <row r="207">
      <c r="A207" s="18"/>
      <c r="B207" s="2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</row>
    <row r="208">
      <c r="A208" s="18"/>
      <c r="B208" s="2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</row>
    <row r="209">
      <c r="A209" s="18"/>
      <c r="B209" s="2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</row>
    <row r="210">
      <c r="A210" s="18"/>
      <c r="B210" s="2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</row>
    <row r="211">
      <c r="A211" s="18"/>
      <c r="B211" s="2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</row>
    <row r="212">
      <c r="A212" s="18"/>
      <c r="B212" s="2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</row>
    <row r="213">
      <c r="A213" s="18"/>
      <c r="B213" s="2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</row>
    <row r="214">
      <c r="A214" s="18"/>
      <c r="B214" s="2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</row>
    <row r="215">
      <c r="A215" s="18"/>
      <c r="B215" s="2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</row>
    <row r="216">
      <c r="A216" s="18"/>
      <c r="B216" s="2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</row>
    <row r="217">
      <c r="A217" s="18"/>
      <c r="B217" s="2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</row>
    <row r="218">
      <c r="A218" s="18"/>
      <c r="B218" s="2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</row>
    <row r="219">
      <c r="A219" s="18"/>
      <c r="B219" s="2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</row>
    <row r="220">
      <c r="A220" s="18"/>
      <c r="B220" s="2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</row>
    <row r="221">
      <c r="A221" s="18"/>
      <c r="B221" s="2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</row>
    <row r="222">
      <c r="A222" s="18"/>
      <c r="B222" s="2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</row>
    <row r="223">
      <c r="A223" s="18"/>
      <c r="B223" s="2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</row>
    <row r="224">
      <c r="A224" s="18"/>
      <c r="B224" s="2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</row>
    <row r="225">
      <c r="A225" s="18"/>
      <c r="B225" s="2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</row>
    <row r="226">
      <c r="A226" s="18"/>
      <c r="B226" s="2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</row>
    <row r="227">
      <c r="A227" s="18"/>
      <c r="B227" s="2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</row>
    <row r="228">
      <c r="A228" s="18"/>
      <c r="B228" s="2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</row>
    <row r="229">
      <c r="A229" s="18"/>
      <c r="B229" s="2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</row>
    <row r="230">
      <c r="A230" s="18"/>
      <c r="B230" s="2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</row>
    <row r="231">
      <c r="A231" s="18"/>
      <c r="B231" s="2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</row>
    <row r="232">
      <c r="A232" s="18"/>
      <c r="B232" s="2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</row>
    <row r="233">
      <c r="A233" s="18"/>
      <c r="B233" s="2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</row>
    <row r="234">
      <c r="A234" s="18"/>
      <c r="B234" s="2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</row>
    <row r="235">
      <c r="A235" s="18"/>
      <c r="B235" s="2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</row>
    <row r="236">
      <c r="A236" s="18"/>
      <c r="B236" s="2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</row>
    <row r="237">
      <c r="A237" s="18"/>
      <c r="B237" s="2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</row>
    <row r="238">
      <c r="A238" s="18"/>
      <c r="B238" s="2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</row>
    <row r="239">
      <c r="A239" s="18"/>
      <c r="B239" s="2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</row>
    <row r="240">
      <c r="A240" s="18"/>
      <c r="B240" s="2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</row>
    <row r="241">
      <c r="A241" s="18"/>
      <c r="B241" s="2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</row>
    <row r="242">
      <c r="A242" s="18"/>
      <c r="B242" s="2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</row>
    <row r="243">
      <c r="A243" s="18"/>
      <c r="B243" s="2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</row>
    <row r="244">
      <c r="A244" s="18"/>
      <c r="B244" s="2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</row>
    <row r="245">
      <c r="A245" s="18"/>
      <c r="B245" s="2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</row>
    <row r="246">
      <c r="A246" s="18"/>
      <c r="B246" s="2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</row>
    <row r="247">
      <c r="A247" s="18"/>
      <c r="B247" s="2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</row>
    <row r="248">
      <c r="A248" s="18"/>
      <c r="B248" s="2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</row>
    <row r="249">
      <c r="A249" s="18"/>
      <c r="B249" s="2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</row>
    <row r="250">
      <c r="A250" s="18"/>
      <c r="B250" s="2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</row>
    <row r="251">
      <c r="A251" s="18"/>
      <c r="B251" s="2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</row>
    <row r="252">
      <c r="A252" s="18"/>
      <c r="B252" s="2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</row>
    <row r="253">
      <c r="A253" s="18"/>
      <c r="B253" s="2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</row>
    <row r="254">
      <c r="A254" s="18"/>
      <c r="B254" s="2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</row>
    <row r="255">
      <c r="A255" s="18"/>
      <c r="B255" s="2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</row>
    <row r="256">
      <c r="A256" s="18"/>
      <c r="B256" s="2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</row>
    <row r="257">
      <c r="A257" s="18"/>
      <c r="B257" s="2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</row>
    <row r="258">
      <c r="A258" s="18"/>
      <c r="B258" s="2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</row>
    <row r="259">
      <c r="A259" s="18"/>
      <c r="B259" s="2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</row>
    <row r="260">
      <c r="A260" s="18"/>
      <c r="B260" s="2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</row>
    <row r="261">
      <c r="A261" s="18"/>
      <c r="B261" s="2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</row>
    <row r="262">
      <c r="A262" s="18"/>
      <c r="B262" s="2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</row>
    <row r="263">
      <c r="A263" s="18"/>
      <c r="B263" s="2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</row>
    <row r="264">
      <c r="A264" s="18"/>
      <c r="B264" s="2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</row>
    <row r="265">
      <c r="A265" s="18"/>
      <c r="B265" s="2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</row>
    <row r="266">
      <c r="A266" s="18"/>
      <c r="B266" s="2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</row>
    <row r="267">
      <c r="A267" s="18"/>
      <c r="B267" s="2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</row>
    <row r="268">
      <c r="A268" s="18"/>
      <c r="B268" s="2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</row>
    <row r="269">
      <c r="A269" s="18"/>
      <c r="B269" s="2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</row>
    <row r="270">
      <c r="A270" s="18"/>
      <c r="B270" s="2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</row>
    <row r="271">
      <c r="A271" s="18"/>
      <c r="B271" s="2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</row>
    <row r="272">
      <c r="A272" s="18"/>
      <c r="B272" s="2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</row>
    <row r="273">
      <c r="A273" s="18"/>
      <c r="B273" s="2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</row>
    <row r="274">
      <c r="A274" s="18"/>
      <c r="B274" s="2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</row>
    <row r="275">
      <c r="A275" s="18"/>
      <c r="B275" s="2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</row>
    <row r="276">
      <c r="A276" s="18"/>
      <c r="B276" s="2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</row>
    <row r="277">
      <c r="A277" s="18"/>
      <c r="B277" s="2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</row>
    <row r="278">
      <c r="A278" s="18"/>
      <c r="B278" s="2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</row>
    <row r="279">
      <c r="A279" s="18"/>
      <c r="B279" s="2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</row>
    <row r="280">
      <c r="A280" s="18"/>
      <c r="B280" s="2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</row>
    <row r="281">
      <c r="A281" s="18"/>
      <c r="B281" s="2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</row>
    <row r="282">
      <c r="A282" s="18"/>
      <c r="B282" s="2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</row>
    <row r="283">
      <c r="A283" s="18"/>
      <c r="B283" s="2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</row>
    <row r="284">
      <c r="A284" s="18"/>
      <c r="B284" s="2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</row>
    <row r="285">
      <c r="A285" s="18"/>
      <c r="B285" s="2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</row>
    <row r="286">
      <c r="A286" s="18"/>
      <c r="B286" s="2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</row>
    <row r="287">
      <c r="A287" s="18"/>
      <c r="B287" s="2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</row>
    <row r="288">
      <c r="A288" s="18"/>
      <c r="B288" s="2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</row>
    <row r="289">
      <c r="A289" s="18"/>
      <c r="B289" s="2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</row>
    <row r="290">
      <c r="A290" s="18"/>
      <c r="B290" s="2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</row>
    <row r="291">
      <c r="A291" s="18"/>
      <c r="B291" s="2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</row>
    <row r="292">
      <c r="A292" s="18"/>
      <c r="B292" s="2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</row>
    <row r="293">
      <c r="A293" s="18"/>
      <c r="B293" s="2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</row>
    <row r="294">
      <c r="A294" s="18"/>
      <c r="B294" s="2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</row>
    <row r="295">
      <c r="A295" s="18"/>
      <c r="B295" s="2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</row>
    <row r="296">
      <c r="A296" s="18"/>
      <c r="B296" s="2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</row>
    <row r="297">
      <c r="A297" s="18"/>
      <c r="B297" s="2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</row>
    <row r="298">
      <c r="A298" s="18"/>
      <c r="B298" s="2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</row>
    <row r="299">
      <c r="A299" s="18"/>
      <c r="B299" s="2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</row>
    <row r="300">
      <c r="A300" s="18"/>
      <c r="B300" s="2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</row>
    <row r="301">
      <c r="A301" s="18"/>
      <c r="B301" s="2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</row>
    <row r="302">
      <c r="A302" s="18"/>
      <c r="B302" s="2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</row>
    <row r="303">
      <c r="A303" s="18"/>
      <c r="B303" s="2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</row>
    <row r="304">
      <c r="A304" s="18"/>
      <c r="B304" s="2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</row>
    <row r="305">
      <c r="A305" s="18"/>
      <c r="B305" s="2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</row>
    <row r="306">
      <c r="A306" s="18"/>
      <c r="B306" s="2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</row>
    <row r="307">
      <c r="A307" s="18"/>
      <c r="B307" s="2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</row>
    <row r="308">
      <c r="A308" s="18"/>
      <c r="B308" s="2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</row>
    <row r="309">
      <c r="A309" s="18"/>
      <c r="B309" s="2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</row>
    <row r="310">
      <c r="A310" s="18"/>
      <c r="B310" s="2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</row>
    <row r="311">
      <c r="A311" s="18"/>
      <c r="B311" s="2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</row>
    <row r="312">
      <c r="A312" s="18"/>
      <c r="B312" s="2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</row>
    <row r="313">
      <c r="A313" s="18"/>
      <c r="B313" s="2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</row>
    <row r="314">
      <c r="A314" s="18"/>
      <c r="B314" s="2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</row>
    <row r="315">
      <c r="A315" s="18"/>
      <c r="B315" s="2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</row>
    <row r="316">
      <c r="A316" s="18"/>
      <c r="B316" s="2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</row>
    <row r="317">
      <c r="A317" s="18"/>
      <c r="B317" s="2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</row>
    <row r="318">
      <c r="A318" s="18"/>
      <c r="B318" s="2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</row>
    <row r="319">
      <c r="A319" s="18"/>
      <c r="B319" s="2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</row>
    <row r="320">
      <c r="A320" s="18"/>
      <c r="B320" s="2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</row>
    <row r="321">
      <c r="A321" s="18"/>
      <c r="B321" s="2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</row>
    <row r="322">
      <c r="A322" s="18"/>
      <c r="B322" s="2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</row>
    <row r="323">
      <c r="A323" s="18"/>
      <c r="B323" s="2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</row>
    <row r="324">
      <c r="A324" s="18"/>
      <c r="B324" s="2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</row>
    <row r="325">
      <c r="A325" s="18"/>
      <c r="B325" s="2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</row>
    <row r="326">
      <c r="A326" s="18"/>
      <c r="B326" s="2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</row>
    <row r="327">
      <c r="A327" s="18"/>
      <c r="B327" s="2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</row>
    <row r="328">
      <c r="A328" s="18"/>
      <c r="B328" s="2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</row>
    <row r="329">
      <c r="A329" s="18"/>
      <c r="B329" s="2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</row>
    <row r="330">
      <c r="A330" s="18"/>
      <c r="B330" s="2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</row>
    <row r="331">
      <c r="A331" s="18"/>
      <c r="B331" s="2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</row>
    <row r="332">
      <c r="A332" s="18"/>
      <c r="B332" s="2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</row>
    <row r="333">
      <c r="A333" s="18"/>
      <c r="B333" s="2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</row>
    <row r="334">
      <c r="A334" s="18"/>
      <c r="B334" s="2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</row>
    <row r="335">
      <c r="A335" s="18"/>
      <c r="B335" s="2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</row>
    <row r="336">
      <c r="A336" s="18"/>
      <c r="B336" s="2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</row>
    <row r="337">
      <c r="A337" s="18"/>
      <c r="B337" s="2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</row>
    <row r="338">
      <c r="A338" s="18"/>
      <c r="B338" s="2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</row>
    <row r="339">
      <c r="A339" s="18"/>
      <c r="B339" s="2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</row>
    <row r="340">
      <c r="A340" s="18"/>
      <c r="B340" s="2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</row>
    <row r="341">
      <c r="A341" s="18"/>
      <c r="B341" s="2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</row>
    <row r="342">
      <c r="A342" s="18"/>
      <c r="B342" s="2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</row>
    <row r="343">
      <c r="A343" s="18"/>
      <c r="B343" s="2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</row>
    <row r="344">
      <c r="A344" s="18"/>
      <c r="B344" s="2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</row>
    <row r="345">
      <c r="A345" s="18"/>
      <c r="B345" s="2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</row>
    <row r="346">
      <c r="A346" s="18"/>
      <c r="B346" s="2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</row>
    <row r="347">
      <c r="A347" s="18"/>
      <c r="B347" s="2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</row>
    <row r="348">
      <c r="A348" s="18"/>
      <c r="B348" s="2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</row>
    <row r="349">
      <c r="A349" s="18"/>
      <c r="B349" s="2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</row>
    <row r="350">
      <c r="A350" s="18"/>
      <c r="B350" s="2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</row>
    <row r="351">
      <c r="A351" s="18"/>
      <c r="B351" s="2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</row>
    <row r="352">
      <c r="A352" s="18"/>
      <c r="B352" s="2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</row>
    <row r="353">
      <c r="A353" s="18"/>
      <c r="B353" s="2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</row>
    <row r="354">
      <c r="A354" s="18"/>
      <c r="B354" s="2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</row>
    <row r="355">
      <c r="A355" s="18"/>
      <c r="B355" s="2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</row>
    <row r="356">
      <c r="A356" s="18"/>
      <c r="B356" s="2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</row>
    <row r="357">
      <c r="A357" s="18"/>
      <c r="B357" s="2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</row>
    <row r="358">
      <c r="A358" s="18"/>
      <c r="B358" s="2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</row>
    <row r="359">
      <c r="A359" s="18"/>
      <c r="B359" s="2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</row>
    <row r="360">
      <c r="A360" s="18"/>
      <c r="B360" s="2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</row>
    <row r="361">
      <c r="A361" s="18"/>
      <c r="B361" s="2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</row>
    <row r="362">
      <c r="A362" s="18"/>
      <c r="B362" s="2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</row>
    <row r="363">
      <c r="A363" s="18"/>
      <c r="B363" s="2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</row>
    <row r="364">
      <c r="A364" s="18"/>
      <c r="B364" s="2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</row>
    <row r="365">
      <c r="A365" s="18"/>
      <c r="B365" s="2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</row>
    <row r="366">
      <c r="A366" s="18"/>
      <c r="B366" s="2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</row>
    <row r="367">
      <c r="A367" s="18"/>
      <c r="B367" s="2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</row>
    <row r="368">
      <c r="A368" s="18"/>
      <c r="B368" s="2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</row>
    <row r="369">
      <c r="A369" s="18"/>
      <c r="B369" s="2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</row>
    <row r="370">
      <c r="A370" s="18"/>
      <c r="B370" s="2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</row>
    <row r="371">
      <c r="A371" s="18"/>
      <c r="B371" s="2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</row>
    <row r="372">
      <c r="A372" s="18"/>
      <c r="B372" s="2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</row>
    <row r="373">
      <c r="A373" s="18"/>
      <c r="B373" s="2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</row>
    <row r="374">
      <c r="A374" s="18"/>
      <c r="B374" s="2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</row>
    <row r="375">
      <c r="A375" s="18"/>
      <c r="B375" s="2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</row>
    <row r="376">
      <c r="A376" s="18"/>
      <c r="B376" s="2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</row>
    <row r="377">
      <c r="A377" s="18"/>
      <c r="B377" s="2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</row>
    <row r="378">
      <c r="A378" s="18"/>
      <c r="B378" s="2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</row>
    <row r="379">
      <c r="A379" s="18"/>
      <c r="B379" s="2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</row>
    <row r="380">
      <c r="A380" s="18"/>
      <c r="B380" s="2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</row>
    <row r="381">
      <c r="A381" s="18"/>
      <c r="B381" s="2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</row>
    <row r="382">
      <c r="A382" s="18"/>
      <c r="B382" s="2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</row>
    <row r="383">
      <c r="A383" s="18"/>
      <c r="B383" s="2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</row>
    <row r="384">
      <c r="A384" s="18"/>
      <c r="B384" s="2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</row>
    <row r="385">
      <c r="A385" s="18"/>
      <c r="B385" s="2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</row>
    <row r="386">
      <c r="A386" s="18"/>
      <c r="B386" s="2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</row>
    <row r="387">
      <c r="A387" s="18"/>
      <c r="B387" s="2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</row>
    <row r="388">
      <c r="A388" s="18"/>
      <c r="B388" s="2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</row>
    <row r="389">
      <c r="A389" s="18"/>
      <c r="B389" s="2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</row>
    <row r="390">
      <c r="A390" s="18"/>
      <c r="B390" s="2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</row>
    <row r="391">
      <c r="A391" s="18"/>
      <c r="B391" s="2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</row>
    <row r="392">
      <c r="A392" s="18"/>
      <c r="B392" s="2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</row>
    <row r="393">
      <c r="A393" s="18"/>
      <c r="B393" s="2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</row>
    <row r="394">
      <c r="A394" s="18"/>
      <c r="B394" s="2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</row>
    <row r="395">
      <c r="A395" s="18"/>
      <c r="B395" s="2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</row>
    <row r="396">
      <c r="A396" s="18"/>
      <c r="B396" s="2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</row>
    <row r="397">
      <c r="A397" s="18"/>
      <c r="B397" s="2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</row>
    <row r="398">
      <c r="A398" s="18"/>
      <c r="B398" s="2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</row>
    <row r="399">
      <c r="A399" s="18"/>
      <c r="B399" s="2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</row>
    <row r="400">
      <c r="A400" s="18"/>
      <c r="B400" s="2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</row>
    <row r="401">
      <c r="A401" s="18"/>
      <c r="B401" s="2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</row>
    <row r="402">
      <c r="A402" s="18"/>
      <c r="B402" s="2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</row>
    <row r="403">
      <c r="A403" s="18"/>
      <c r="B403" s="2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</row>
    <row r="404">
      <c r="A404" s="18"/>
      <c r="B404" s="2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</row>
    <row r="405">
      <c r="A405" s="18"/>
      <c r="B405" s="2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</row>
    <row r="406">
      <c r="A406" s="18"/>
      <c r="B406" s="2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</row>
    <row r="407">
      <c r="A407" s="18"/>
      <c r="B407" s="2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</row>
    <row r="408">
      <c r="A408" s="18"/>
      <c r="B408" s="2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</row>
    <row r="409">
      <c r="A409" s="18"/>
      <c r="B409" s="2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</row>
    <row r="410">
      <c r="A410" s="18"/>
      <c r="B410" s="2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</row>
    <row r="411">
      <c r="A411" s="18"/>
      <c r="B411" s="2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</row>
    <row r="412">
      <c r="A412" s="18"/>
      <c r="B412" s="2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</row>
    <row r="413">
      <c r="A413" s="18"/>
      <c r="B413" s="2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</row>
    <row r="414">
      <c r="A414" s="18"/>
      <c r="B414" s="2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</row>
    <row r="415">
      <c r="A415" s="18"/>
      <c r="B415" s="2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</row>
    <row r="416">
      <c r="A416" s="18"/>
      <c r="B416" s="2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</row>
    <row r="417">
      <c r="A417" s="18"/>
      <c r="B417" s="2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</row>
    <row r="418">
      <c r="A418" s="18"/>
      <c r="B418" s="2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</row>
    <row r="419">
      <c r="A419" s="18"/>
      <c r="B419" s="2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</row>
    <row r="420">
      <c r="A420" s="18"/>
      <c r="B420" s="2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</row>
    <row r="421">
      <c r="A421" s="18"/>
      <c r="B421" s="2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</row>
    <row r="422">
      <c r="A422" s="18"/>
      <c r="B422" s="2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</row>
    <row r="423">
      <c r="A423" s="18"/>
      <c r="B423" s="2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</row>
    <row r="424">
      <c r="A424" s="18"/>
      <c r="B424" s="2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</row>
    <row r="425">
      <c r="A425" s="18"/>
      <c r="B425" s="2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</row>
    <row r="426">
      <c r="A426" s="18"/>
      <c r="B426" s="2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</row>
    <row r="427">
      <c r="A427" s="18"/>
      <c r="B427" s="2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</row>
    <row r="428">
      <c r="A428" s="18"/>
      <c r="B428" s="2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</row>
    <row r="429">
      <c r="A429" s="18"/>
      <c r="B429" s="2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</row>
    <row r="430">
      <c r="A430" s="18"/>
      <c r="B430" s="2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</row>
    <row r="431">
      <c r="A431" s="18"/>
      <c r="B431" s="2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</row>
    <row r="432">
      <c r="A432" s="18"/>
      <c r="B432" s="2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</row>
    <row r="433">
      <c r="A433" s="18"/>
      <c r="B433" s="2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</row>
    <row r="434">
      <c r="A434" s="18"/>
      <c r="B434" s="2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</row>
    <row r="435">
      <c r="A435" s="18"/>
      <c r="B435" s="2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</row>
    <row r="436">
      <c r="A436" s="18"/>
      <c r="B436" s="2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</row>
    <row r="437">
      <c r="A437" s="18"/>
      <c r="B437" s="2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</row>
    <row r="438">
      <c r="A438" s="18"/>
      <c r="B438" s="2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</row>
    <row r="439">
      <c r="A439" s="18"/>
      <c r="B439" s="2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</row>
    <row r="440">
      <c r="A440" s="18"/>
      <c r="B440" s="2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</row>
    <row r="441">
      <c r="A441" s="18"/>
      <c r="B441" s="2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</row>
    <row r="442">
      <c r="A442" s="18"/>
      <c r="B442" s="2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</row>
    <row r="443">
      <c r="A443" s="18"/>
      <c r="B443" s="2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</row>
    <row r="444">
      <c r="A444" s="18"/>
      <c r="B444" s="2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</row>
    <row r="445">
      <c r="A445" s="18"/>
      <c r="B445" s="2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</row>
    <row r="446">
      <c r="A446" s="18"/>
      <c r="B446" s="2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</row>
    <row r="447">
      <c r="A447" s="18"/>
      <c r="B447" s="2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</row>
    <row r="448">
      <c r="A448" s="18"/>
      <c r="B448" s="2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</row>
    <row r="449">
      <c r="A449" s="18"/>
      <c r="B449" s="2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</row>
    <row r="450">
      <c r="A450" s="18"/>
      <c r="B450" s="2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</row>
    <row r="451">
      <c r="A451" s="18"/>
      <c r="B451" s="2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</row>
    <row r="452">
      <c r="A452" s="18"/>
      <c r="B452" s="2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</row>
    <row r="453">
      <c r="A453" s="18"/>
      <c r="B453" s="2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</row>
    <row r="454">
      <c r="A454" s="18"/>
      <c r="B454" s="2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</row>
    <row r="455">
      <c r="A455" s="18"/>
      <c r="B455" s="2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</row>
    <row r="456">
      <c r="A456" s="18"/>
      <c r="B456" s="2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</row>
    <row r="457">
      <c r="A457" s="18"/>
      <c r="B457" s="2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</row>
    <row r="458">
      <c r="A458" s="18"/>
      <c r="B458" s="2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</row>
    <row r="459">
      <c r="A459" s="18"/>
      <c r="B459" s="2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</row>
    <row r="460">
      <c r="A460" s="18"/>
      <c r="B460" s="2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</row>
    <row r="461">
      <c r="A461" s="18"/>
      <c r="B461" s="2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</row>
    <row r="462">
      <c r="A462" s="18"/>
      <c r="B462" s="2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</row>
    <row r="463">
      <c r="A463" s="18"/>
      <c r="B463" s="2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</row>
    <row r="464">
      <c r="A464" s="18"/>
      <c r="B464" s="2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</row>
    <row r="465">
      <c r="A465" s="18"/>
      <c r="B465" s="2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</row>
    <row r="466">
      <c r="A466" s="18"/>
      <c r="B466" s="2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</row>
    <row r="467">
      <c r="A467" s="18"/>
      <c r="B467" s="2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</row>
    <row r="468">
      <c r="A468" s="18"/>
      <c r="B468" s="2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</row>
    <row r="469">
      <c r="A469" s="18"/>
      <c r="B469" s="2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</row>
    <row r="470">
      <c r="A470" s="18"/>
      <c r="B470" s="2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</row>
    <row r="471">
      <c r="A471" s="18"/>
      <c r="B471" s="2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</row>
    <row r="472">
      <c r="A472" s="18"/>
      <c r="B472" s="2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</row>
    <row r="473">
      <c r="A473" s="18"/>
      <c r="B473" s="2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</row>
    <row r="474">
      <c r="A474" s="18"/>
      <c r="B474" s="2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</row>
    <row r="475">
      <c r="A475" s="18"/>
      <c r="B475" s="2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</row>
    <row r="476">
      <c r="A476" s="18"/>
      <c r="B476" s="2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</row>
    <row r="477">
      <c r="A477" s="18"/>
      <c r="B477" s="2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</row>
    <row r="478">
      <c r="A478" s="18"/>
      <c r="B478" s="2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</row>
    <row r="479">
      <c r="A479" s="18"/>
      <c r="B479" s="2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</row>
    <row r="480">
      <c r="A480" s="18"/>
      <c r="B480" s="2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</row>
    <row r="481">
      <c r="A481" s="18"/>
      <c r="B481" s="2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</row>
    <row r="482">
      <c r="A482" s="18"/>
      <c r="B482" s="2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</row>
    <row r="483">
      <c r="A483" s="18"/>
      <c r="B483" s="2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</row>
    <row r="484">
      <c r="A484" s="18"/>
      <c r="B484" s="2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</row>
    <row r="485">
      <c r="A485" s="18"/>
      <c r="B485" s="2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</row>
    <row r="486">
      <c r="A486" s="18"/>
      <c r="B486" s="2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</row>
    <row r="487">
      <c r="A487" s="18"/>
      <c r="B487" s="2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</row>
    <row r="488">
      <c r="A488" s="18"/>
      <c r="B488" s="2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</row>
    <row r="489">
      <c r="A489" s="18"/>
      <c r="B489" s="2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</row>
    <row r="490">
      <c r="A490" s="18"/>
      <c r="B490" s="2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</row>
    <row r="491">
      <c r="A491" s="18"/>
      <c r="B491" s="2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</row>
    <row r="492">
      <c r="A492" s="18"/>
      <c r="B492" s="2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</row>
    <row r="493">
      <c r="A493" s="18"/>
      <c r="B493" s="2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</row>
    <row r="494">
      <c r="A494" s="18"/>
      <c r="B494" s="2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</row>
    <row r="495">
      <c r="A495" s="18"/>
      <c r="B495" s="2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</row>
    <row r="496">
      <c r="A496" s="18"/>
      <c r="B496" s="2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</row>
    <row r="497">
      <c r="A497" s="18"/>
      <c r="B497" s="2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</row>
    <row r="498">
      <c r="A498" s="18"/>
      <c r="B498" s="2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</row>
    <row r="499">
      <c r="A499" s="18"/>
      <c r="B499" s="2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</row>
    <row r="500">
      <c r="A500" s="18"/>
      <c r="B500" s="2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</row>
    <row r="501">
      <c r="A501" s="18"/>
      <c r="B501" s="2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</row>
    <row r="502">
      <c r="A502" s="18"/>
      <c r="B502" s="2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</row>
    <row r="503">
      <c r="A503" s="18"/>
      <c r="B503" s="2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</row>
    <row r="504">
      <c r="A504" s="18"/>
      <c r="B504" s="2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</row>
    <row r="505">
      <c r="A505" s="18"/>
      <c r="B505" s="2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</row>
    <row r="506">
      <c r="A506" s="18"/>
      <c r="B506" s="2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</row>
    <row r="507">
      <c r="A507" s="18"/>
      <c r="B507" s="2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</row>
    <row r="508">
      <c r="A508" s="18"/>
      <c r="B508" s="2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</row>
    <row r="509">
      <c r="A509" s="18"/>
      <c r="B509" s="2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</row>
    <row r="510">
      <c r="A510" s="18"/>
      <c r="B510" s="2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</row>
    <row r="511">
      <c r="A511" s="18"/>
      <c r="B511" s="2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</row>
    <row r="512">
      <c r="A512" s="18"/>
      <c r="B512" s="2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</row>
    <row r="513">
      <c r="A513" s="18"/>
      <c r="B513" s="2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</row>
    <row r="514">
      <c r="A514" s="18"/>
      <c r="B514" s="2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</row>
    <row r="515">
      <c r="A515" s="18"/>
      <c r="B515" s="2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</row>
    <row r="516">
      <c r="A516" s="18"/>
      <c r="B516" s="2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</row>
    <row r="517">
      <c r="A517" s="18"/>
      <c r="B517" s="2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</row>
    <row r="518">
      <c r="A518" s="18"/>
      <c r="B518" s="2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</row>
    <row r="519">
      <c r="A519" s="18"/>
      <c r="B519" s="2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</row>
    <row r="520">
      <c r="A520" s="18"/>
      <c r="B520" s="2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</row>
    <row r="521">
      <c r="A521" s="18"/>
      <c r="B521" s="2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</row>
    <row r="522">
      <c r="A522" s="18"/>
      <c r="B522" s="2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</row>
    <row r="523">
      <c r="A523" s="18"/>
      <c r="B523" s="2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</row>
    <row r="524">
      <c r="A524" s="18"/>
      <c r="B524" s="2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</row>
    <row r="525">
      <c r="A525" s="18"/>
      <c r="B525" s="2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</row>
    <row r="526">
      <c r="A526" s="18"/>
      <c r="B526" s="2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</row>
    <row r="527">
      <c r="A527" s="18"/>
      <c r="B527" s="2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</row>
    <row r="528">
      <c r="A528" s="18"/>
      <c r="B528" s="2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</row>
    <row r="529">
      <c r="A529" s="18"/>
      <c r="B529" s="2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</row>
    <row r="530">
      <c r="A530" s="18"/>
      <c r="B530" s="2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</row>
    <row r="531">
      <c r="A531" s="18"/>
      <c r="B531" s="2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</row>
    <row r="532">
      <c r="A532" s="18"/>
      <c r="B532" s="2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</row>
    <row r="533">
      <c r="A533" s="18"/>
      <c r="B533" s="2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</row>
    <row r="534">
      <c r="A534" s="18"/>
      <c r="B534" s="2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</row>
    <row r="535">
      <c r="A535" s="18"/>
      <c r="B535" s="2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</row>
    <row r="536">
      <c r="A536" s="18"/>
      <c r="B536" s="2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</row>
    <row r="537">
      <c r="A537" s="18"/>
      <c r="B537" s="2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</row>
    <row r="538">
      <c r="A538" s="18"/>
      <c r="B538" s="2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</row>
    <row r="539">
      <c r="A539" s="18"/>
      <c r="B539" s="2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</row>
    <row r="540">
      <c r="A540" s="18"/>
      <c r="B540" s="2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</row>
    <row r="541">
      <c r="A541" s="18"/>
      <c r="B541" s="2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</row>
    <row r="542">
      <c r="A542" s="18"/>
      <c r="B542" s="2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</row>
    <row r="543">
      <c r="A543" s="18"/>
      <c r="B543" s="2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</row>
    <row r="544">
      <c r="A544" s="18"/>
      <c r="B544" s="2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</row>
    <row r="545">
      <c r="A545" s="18"/>
      <c r="B545" s="2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</row>
    <row r="546">
      <c r="A546" s="18"/>
      <c r="B546" s="2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</row>
    <row r="547">
      <c r="A547" s="18"/>
      <c r="B547" s="2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</row>
    <row r="548">
      <c r="A548" s="18"/>
      <c r="B548" s="2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</row>
    <row r="549">
      <c r="A549" s="18"/>
      <c r="B549" s="2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</row>
    <row r="550">
      <c r="A550" s="18"/>
      <c r="B550" s="2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</row>
    <row r="551">
      <c r="A551" s="18"/>
      <c r="B551" s="2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</row>
    <row r="552">
      <c r="A552" s="18"/>
      <c r="B552" s="2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</row>
    <row r="553">
      <c r="A553" s="18"/>
      <c r="B553" s="2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</row>
    <row r="554">
      <c r="A554" s="18"/>
      <c r="B554" s="2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</row>
    <row r="555">
      <c r="A555" s="18"/>
      <c r="B555" s="2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</row>
    <row r="556">
      <c r="A556" s="18"/>
      <c r="B556" s="2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</row>
    <row r="557">
      <c r="A557" s="18"/>
      <c r="B557" s="2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</row>
    <row r="558">
      <c r="A558" s="18"/>
      <c r="B558" s="2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</row>
    <row r="559">
      <c r="A559" s="18"/>
      <c r="B559" s="2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</row>
    <row r="560">
      <c r="A560" s="18"/>
      <c r="B560" s="2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</row>
    <row r="561">
      <c r="A561" s="18"/>
      <c r="B561" s="2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</row>
    <row r="562">
      <c r="A562" s="18"/>
      <c r="B562" s="2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</row>
    <row r="563">
      <c r="A563" s="18"/>
      <c r="B563" s="2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</row>
    <row r="564">
      <c r="A564" s="18"/>
      <c r="B564" s="2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</row>
    <row r="565">
      <c r="A565" s="18"/>
      <c r="B565" s="2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</row>
    <row r="566">
      <c r="A566" s="18"/>
      <c r="B566" s="2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</row>
    <row r="567">
      <c r="A567" s="18"/>
      <c r="B567" s="2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</row>
    <row r="568">
      <c r="A568" s="18"/>
      <c r="B568" s="2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</row>
    <row r="569">
      <c r="A569" s="18"/>
      <c r="B569" s="2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</row>
    <row r="570">
      <c r="A570" s="18"/>
      <c r="B570" s="2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</row>
    <row r="571">
      <c r="A571" s="18"/>
      <c r="B571" s="2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</row>
    <row r="572">
      <c r="A572" s="18"/>
      <c r="B572" s="2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</row>
    <row r="573">
      <c r="A573" s="18"/>
      <c r="B573" s="2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</row>
    <row r="574">
      <c r="A574" s="18"/>
      <c r="B574" s="2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</row>
    <row r="575">
      <c r="A575" s="18"/>
      <c r="B575" s="2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</row>
    <row r="576">
      <c r="A576" s="18"/>
      <c r="B576" s="2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</row>
    <row r="577">
      <c r="A577" s="18"/>
      <c r="B577" s="2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</row>
    <row r="578">
      <c r="A578" s="18"/>
      <c r="B578" s="2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</row>
    <row r="579">
      <c r="A579" s="18"/>
      <c r="B579" s="2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</row>
    <row r="580">
      <c r="A580" s="18"/>
      <c r="B580" s="2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</row>
    <row r="581">
      <c r="A581" s="18"/>
      <c r="B581" s="2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</row>
    <row r="582">
      <c r="A582" s="18"/>
      <c r="B582" s="2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</row>
    <row r="583">
      <c r="A583" s="18"/>
      <c r="B583" s="2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</row>
    <row r="584">
      <c r="A584" s="18"/>
      <c r="B584" s="2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</row>
    <row r="585">
      <c r="A585" s="18"/>
      <c r="B585" s="2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</row>
    <row r="586">
      <c r="A586" s="18"/>
      <c r="B586" s="2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</row>
    <row r="587">
      <c r="A587" s="18"/>
      <c r="B587" s="2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</row>
    <row r="588">
      <c r="A588" s="18"/>
      <c r="B588" s="2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</row>
    <row r="589">
      <c r="A589" s="18"/>
      <c r="B589" s="2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</row>
    <row r="590">
      <c r="A590" s="18"/>
      <c r="B590" s="2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</row>
    <row r="591">
      <c r="A591" s="18"/>
      <c r="B591" s="2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</row>
    <row r="592">
      <c r="A592" s="18"/>
      <c r="B592" s="2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</row>
    <row r="593">
      <c r="A593" s="18"/>
      <c r="B593" s="2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</row>
    <row r="594">
      <c r="A594" s="18"/>
      <c r="B594" s="2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</row>
    <row r="595">
      <c r="A595" s="18"/>
      <c r="B595" s="2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</row>
    <row r="596">
      <c r="A596" s="18"/>
      <c r="B596" s="2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</row>
    <row r="597">
      <c r="A597" s="18"/>
      <c r="B597" s="2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</row>
    <row r="598">
      <c r="A598" s="18"/>
      <c r="B598" s="2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</row>
    <row r="599">
      <c r="A599" s="18"/>
      <c r="B599" s="2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</row>
    <row r="600">
      <c r="A600" s="18"/>
      <c r="B600" s="2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</row>
    <row r="601">
      <c r="A601" s="18"/>
      <c r="B601" s="2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</row>
    <row r="602">
      <c r="A602" s="18"/>
      <c r="B602" s="2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</row>
    <row r="603">
      <c r="A603" s="18"/>
      <c r="B603" s="2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</row>
    <row r="604">
      <c r="A604" s="18"/>
      <c r="B604" s="2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</row>
    <row r="605">
      <c r="A605" s="18"/>
      <c r="B605" s="2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</row>
    <row r="606">
      <c r="A606" s="18"/>
      <c r="B606" s="2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</row>
    <row r="607">
      <c r="A607" s="18"/>
      <c r="B607" s="2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</row>
    <row r="608">
      <c r="A608" s="18"/>
      <c r="B608" s="2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</row>
    <row r="609">
      <c r="A609" s="18"/>
      <c r="B609" s="2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</row>
    <row r="610">
      <c r="A610" s="18"/>
      <c r="B610" s="2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</row>
    <row r="611">
      <c r="A611" s="18"/>
      <c r="B611" s="2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</row>
    <row r="612">
      <c r="A612" s="18"/>
      <c r="B612" s="2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</row>
    <row r="613">
      <c r="A613" s="18"/>
      <c r="B613" s="2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</row>
    <row r="614">
      <c r="A614" s="18"/>
      <c r="B614" s="2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</row>
    <row r="615">
      <c r="A615" s="18"/>
      <c r="B615" s="2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</row>
    <row r="616">
      <c r="A616" s="18"/>
      <c r="B616" s="2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</row>
    <row r="617">
      <c r="A617" s="18"/>
      <c r="B617" s="2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</row>
    <row r="618">
      <c r="A618" s="18"/>
      <c r="B618" s="2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</row>
    <row r="619">
      <c r="A619" s="18"/>
      <c r="B619" s="2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</row>
    <row r="620">
      <c r="A620" s="18"/>
      <c r="B620" s="2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</row>
    <row r="621">
      <c r="A621" s="18"/>
      <c r="B621" s="2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</row>
    <row r="622">
      <c r="A622" s="18"/>
      <c r="B622" s="2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</row>
    <row r="623">
      <c r="A623" s="18"/>
      <c r="B623" s="2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</row>
    <row r="624">
      <c r="A624" s="18"/>
      <c r="B624" s="2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</row>
    <row r="625">
      <c r="A625" s="18"/>
      <c r="B625" s="2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</row>
    <row r="626">
      <c r="A626" s="18"/>
      <c r="B626" s="2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</row>
    <row r="627">
      <c r="A627" s="18"/>
      <c r="B627" s="2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</row>
    <row r="628">
      <c r="A628" s="18"/>
      <c r="B628" s="2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</row>
    <row r="629">
      <c r="A629" s="18"/>
      <c r="B629" s="2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</row>
    <row r="630">
      <c r="A630" s="18"/>
      <c r="B630" s="2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</row>
    <row r="631">
      <c r="A631" s="18"/>
      <c r="B631" s="2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</row>
    <row r="632">
      <c r="A632" s="18"/>
      <c r="B632" s="2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</row>
    <row r="633">
      <c r="A633" s="18"/>
      <c r="B633" s="2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</row>
    <row r="634">
      <c r="A634" s="18"/>
      <c r="B634" s="2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</row>
    <row r="635">
      <c r="A635" s="18"/>
      <c r="B635" s="2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</row>
    <row r="636">
      <c r="A636" s="18"/>
      <c r="B636" s="2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</row>
    <row r="637">
      <c r="A637" s="18"/>
      <c r="B637" s="2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</row>
    <row r="638">
      <c r="A638" s="18"/>
      <c r="B638" s="2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</row>
    <row r="639">
      <c r="A639" s="18"/>
      <c r="B639" s="2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</row>
    <row r="640">
      <c r="A640" s="18"/>
      <c r="B640" s="2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</row>
    <row r="641">
      <c r="A641" s="18"/>
      <c r="B641" s="2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</row>
    <row r="642">
      <c r="A642" s="18"/>
      <c r="B642" s="2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</row>
    <row r="643">
      <c r="A643" s="18"/>
      <c r="B643" s="2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</row>
    <row r="644">
      <c r="A644" s="18"/>
      <c r="B644" s="2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</row>
    <row r="645">
      <c r="A645" s="18"/>
      <c r="B645" s="2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</row>
    <row r="646">
      <c r="A646" s="18"/>
      <c r="B646" s="2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</row>
    <row r="647">
      <c r="A647" s="18"/>
      <c r="B647" s="2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</row>
    <row r="648">
      <c r="A648" s="18"/>
      <c r="B648" s="2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</row>
    <row r="649">
      <c r="A649" s="18"/>
      <c r="B649" s="2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</row>
    <row r="650">
      <c r="A650" s="18"/>
      <c r="B650" s="2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</row>
    <row r="651">
      <c r="A651" s="18"/>
      <c r="B651" s="2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</row>
    <row r="652">
      <c r="A652" s="18"/>
      <c r="B652" s="2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</row>
    <row r="653">
      <c r="A653" s="18"/>
      <c r="B653" s="2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</row>
    <row r="654">
      <c r="A654" s="18"/>
      <c r="B654" s="2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</row>
    <row r="655">
      <c r="A655" s="18"/>
      <c r="B655" s="2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</row>
    <row r="656">
      <c r="A656" s="18"/>
      <c r="B656" s="2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</row>
    <row r="657">
      <c r="A657" s="18"/>
      <c r="B657" s="2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</row>
    <row r="658">
      <c r="A658" s="18"/>
      <c r="B658" s="2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</row>
    <row r="659">
      <c r="A659" s="18"/>
      <c r="B659" s="2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</row>
    <row r="660">
      <c r="A660" s="18"/>
      <c r="B660" s="2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</row>
    <row r="661">
      <c r="A661" s="18"/>
      <c r="B661" s="2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</row>
    <row r="662">
      <c r="A662" s="18"/>
      <c r="B662" s="2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</row>
    <row r="663">
      <c r="A663" s="18"/>
      <c r="B663" s="2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</row>
    <row r="664">
      <c r="A664" s="18"/>
      <c r="B664" s="2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</row>
    <row r="665">
      <c r="A665" s="18"/>
      <c r="B665" s="2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</row>
    <row r="666">
      <c r="A666" s="18"/>
      <c r="B666" s="2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</row>
    <row r="667">
      <c r="A667" s="18"/>
      <c r="B667" s="2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</row>
    <row r="668">
      <c r="A668" s="18"/>
      <c r="B668" s="2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</row>
    <row r="669">
      <c r="A669" s="18"/>
      <c r="B669" s="2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</row>
    <row r="670">
      <c r="A670" s="18"/>
      <c r="B670" s="2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</row>
    <row r="671">
      <c r="A671" s="18"/>
      <c r="B671" s="2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</row>
    <row r="672">
      <c r="A672" s="18"/>
      <c r="B672" s="2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</row>
    <row r="673">
      <c r="A673" s="18"/>
      <c r="B673" s="2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</row>
    <row r="674">
      <c r="A674" s="18"/>
      <c r="B674" s="2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</row>
    <row r="675">
      <c r="A675" s="18"/>
      <c r="B675" s="2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</row>
    <row r="676">
      <c r="A676" s="18"/>
      <c r="B676" s="2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</row>
    <row r="677">
      <c r="A677" s="18"/>
      <c r="B677" s="2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</row>
    <row r="678">
      <c r="A678" s="18"/>
      <c r="B678" s="2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</row>
    <row r="679">
      <c r="A679" s="18"/>
      <c r="B679" s="2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</row>
    <row r="680">
      <c r="A680" s="18"/>
      <c r="B680" s="2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</row>
    <row r="681">
      <c r="A681" s="18"/>
      <c r="B681" s="2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</row>
    <row r="682">
      <c r="A682" s="18"/>
      <c r="B682" s="2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</row>
    <row r="683">
      <c r="A683" s="18"/>
      <c r="B683" s="2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</row>
    <row r="684">
      <c r="A684" s="18"/>
      <c r="B684" s="2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</row>
    <row r="685">
      <c r="A685" s="18"/>
      <c r="B685" s="2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</row>
    <row r="686">
      <c r="A686" s="18"/>
      <c r="B686" s="2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</row>
    <row r="687">
      <c r="A687" s="18"/>
      <c r="B687" s="2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</row>
    <row r="688">
      <c r="A688" s="18"/>
      <c r="B688" s="2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</row>
    <row r="689">
      <c r="A689" s="18"/>
      <c r="B689" s="2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</row>
    <row r="690">
      <c r="A690" s="18"/>
      <c r="B690" s="2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</row>
    <row r="691">
      <c r="A691" s="18"/>
      <c r="B691" s="2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</row>
    <row r="692">
      <c r="A692" s="18"/>
      <c r="B692" s="2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</row>
    <row r="693">
      <c r="A693" s="18"/>
      <c r="B693" s="2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</row>
    <row r="694">
      <c r="A694" s="18"/>
      <c r="B694" s="2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</row>
    <row r="695">
      <c r="A695" s="18"/>
      <c r="B695" s="2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</row>
    <row r="696">
      <c r="A696" s="18"/>
      <c r="B696" s="2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</row>
    <row r="697">
      <c r="A697" s="18"/>
      <c r="B697" s="2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</row>
    <row r="698">
      <c r="A698" s="18"/>
      <c r="B698" s="2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</row>
    <row r="699">
      <c r="A699" s="18"/>
      <c r="B699" s="2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</row>
    <row r="700">
      <c r="A700" s="18"/>
      <c r="B700" s="2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</row>
    <row r="701">
      <c r="A701" s="18"/>
      <c r="B701" s="2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</row>
    <row r="702">
      <c r="A702" s="18"/>
      <c r="B702" s="2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</row>
    <row r="703">
      <c r="A703" s="18"/>
      <c r="B703" s="2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</row>
    <row r="704">
      <c r="A704" s="18"/>
      <c r="B704" s="2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</row>
    <row r="705">
      <c r="A705" s="18"/>
      <c r="B705" s="2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</row>
    <row r="706">
      <c r="A706" s="18"/>
      <c r="B706" s="2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</row>
    <row r="707">
      <c r="A707" s="18"/>
      <c r="B707" s="2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</row>
    <row r="708">
      <c r="A708" s="18"/>
      <c r="B708" s="2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</row>
    <row r="709">
      <c r="A709" s="18"/>
      <c r="B709" s="2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</row>
    <row r="710">
      <c r="A710" s="18"/>
      <c r="B710" s="2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</row>
    <row r="711">
      <c r="A711" s="18"/>
      <c r="B711" s="2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</row>
    <row r="712">
      <c r="A712" s="18"/>
      <c r="B712" s="2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</row>
    <row r="713">
      <c r="A713" s="18"/>
      <c r="B713" s="2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</row>
    <row r="714">
      <c r="A714" s="18"/>
      <c r="B714" s="2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</row>
    <row r="715">
      <c r="A715" s="18"/>
      <c r="B715" s="2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</row>
    <row r="716">
      <c r="A716" s="18"/>
      <c r="B716" s="2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</row>
    <row r="717">
      <c r="A717" s="18"/>
      <c r="B717" s="2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</row>
    <row r="718">
      <c r="A718" s="18"/>
      <c r="B718" s="2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</row>
    <row r="719">
      <c r="A719" s="18"/>
      <c r="B719" s="2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</row>
    <row r="720">
      <c r="A720" s="18"/>
      <c r="B720" s="2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</row>
    <row r="721">
      <c r="A721" s="18"/>
      <c r="B721" s="2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</row>
    <row r="722">
      <c r="A722" s="18"/>
      <c r="B722" s="2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</row>
    <row r="723">
      <c r="A723" s="18"/>
      <c r="B723" s="2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</row>
    <row r="724">
      <c r="A724" s="18"/>
      <c r="B724" s="2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</row>
    <row r="725">
      <c r="A725" s="18"/>
      <c r="B725" s="2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</row>
    <row r="726">
      <c r="A726" s="18"/>
      <c r="B726" s="2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</row>
    <row r="727">
      <c r="A727" s="18"/>
      <c r="B727" s="2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</row>
    <row r="728">
      <c r="A728" s="18"/>
      <c r="B728" s="2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</row>
    <row r="729">
      <c r="A729" s="18"/>
      <c r="B729" s="2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</row>
    <row r="730">
      <c r="A730" s="18"/>
      <c r="B730" s="2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</row>
    <row r="731">
      <c r="A731" s="18"/>
      <c r="B731" s="2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</row>
    <row r="732">
      <c r="A732" s="18"/>
      <c r="B732" s="2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</row>
    <row r="733">
      <c r="A733" s="18"/>
      <c r="B733" s="2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</row>
    <row r="734">
      <c r="A734" s="18"/>
      <c r="B734" s="2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</row>
    <row r="735">
      <c r="A735" s="18"/>
      <c r="B735" s="2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</row>
    <row r="736">
      <c r="A736" s="18"/>
      <c r="B736" s="2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</row>
    <row r="737">
      <c r="A737" s="18"/>
      <c r="B737" s="2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</row>
    <row r="738">
      <c r="A738" s="18"/>
      <c r="B738" s="2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</row>
    <row r="739">
      <c r="A739" s="18"/>
      <c r="B739" s="2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</row>
    <row r="740">
      <c r="A740" s="18"/>
      <c r="B740" s="2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</row>
    <row r="741">
      <c r="A741" s="18"/>
      <c r="B741" s="2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</row>
    <row r="742">
      <c r="A742" s="18"/>
      <c r="B742" s="2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</row>
    <row r="743">
      <c r="A743" s="18"/>
      <c r="B743" s="2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</row>
    <row r="744">
      <c r="A744" s="18"/>
      <c r="B744" s="2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</row>
    <row r="745">
      <c r="A745" s="18"/>
      <c r="B745" s="2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</row>
    <row r="746">
      <c r="A746" s="18"/>
      <c r="B746" s="2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</row>
    <row r="747">
      <c r="A747" s="18"/>
      <c r="B747" s="2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</row>
    <row r="748">
      <c r="A748" s="18"/>
      <c r="B748" s="2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</row>
    <row r="749">
      <c r="A749" s="18"/>
      <c r="B749" s="2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</row>
    <row r="750">
      <c r="A750" s="18"/>
      <c r="B750" s="2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</row>
    <row r="751">
      <c r="A751" s="18"/>
      <c r="B751" s="2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</row>
    <row r="752">
      <c r="A752" s="18"/>
      <c r="B752" s="2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</row>
    <row r="753">
      <c r="A753" s="18"/>
      <c r="B753" s="2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</row>
    <row r="754">
      <c r="A754" s="18"/>
      <c r="B754" s="2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</row>
    <row r="755">
      <c r="A755" s="18"/>
      <c r="B755" s="2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</row>
    <row r="756">
      <c r="A756" s="18"/>
      <c r="B756" s="2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</row>
    <row r="757">
      <c r="A757" s="18"/>
      <c r="B757" s="2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</row>
    <row r="758">
      <c r="A758" s="18"/>
      <c r="B758" s="2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</row>
    <row r="759">
      <c r="A759" s="18"/>
      <c r="B759" s="2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</row>
    <row r="760">
      <c r="A760" s="18"/>
      <c r="B760" s="2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</row>
    <row r="761">
      <c r="A761" s="18"/>
      <c r="B761" s="2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</row>
    <row r="762">
      <c r="A762" s="18"/>
      <c r="B762" s="2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</row>
    <row r="763">
      <c r="A763" s="18"/>
      <c r="B763" s="2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</row>
    <row r="764">
      <c r="A764" s="18"/>
      <c r="B764" s="2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</row>
    <row r="765">
      <c r="A765" s="18"/>
      <c r="B765" s="2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</row>
    <row r="766">
      <c r="A766" s="18"/>
      <c r="B766" s="2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</row>
    <row r="767">
      <c r="A767" s="18"/>
      <c r="B767" s="2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</row>
    <row r="768">
      <c r="A768" s="18"/>
      <c r="B768" s="2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</row>
    <row r="769">
      <c r="A769" s="18"/>
      <c r="B769" s="2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</row>
    <row r="770">
      <c r="A770" s="18"/>
      <c r="B770" s="2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</row>
    <row r="771">
      <c r="A771" s="18"/>
      <c r="B771" s="2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</row>
    <row r="772">
      <c r="A772" s="18"/>
      <c r="B772" s="2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</row>
    <row r="773">
      <c r="A773" s="18"/>
      <c r="B773" s="2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</row>
    <row r="774">
      <c r="A774" s="18"/>
      <c r="B774" s="2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</row>
    <row r="775">
      <c r="A775" s="18"/>
      <c r="B775" s="2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</row>
    <row r="776">
      <c r="A776" s="18"/>
      <c r="B776" s="2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</row>
    <row r="777">
      <c r="A777" s="18"/>
      <c r="B777" s="2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</row>
    <row r="778">
      <c r="A778" s="18"/>
      <c r="B778" s="2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</row>
    <row r="779">
      <c r="A779" s="18"/>
      <c r="B779" s="2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</row>
    <row r="780">
      <c r="A780" s="18"/>
      <c r="B780" s="2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</row>
    <row r="781">
      <c r="A781" s="18"/>
      <c r="B781" s="2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</row>
    <row r="782">
      <c r="A782" s="18"/>
      <c r="B782" s="2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</row>
    <row r="783">
      <c r="A783" s="18"/>
      <c r="B783" s="2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</row>
    <row r="784">
      <c r="A784" s="18"/>
      <c r="B784" s="2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</row>
    <row r="785">
      <c r="A785" s="18"/>
      <c r="B785" s="2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</row>
    <row r="786">
      <c r="A786" s="18"/>
      <c r="B786" s="2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</row>
    <row r="787">
      <c r="A787" s="18"/>
      <c r="B787" s="2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</row>
    <row r="788">
      <c r="A788" s="18"/>
      <c r="B788" s="2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</row>
    <row r="789">
      <c r="A789" s="18"/>
      <c r="B789" s="2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</row>
    <row r="790">
      <c r="A790" s="18"/>
      <c r="B790" s="2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</row>
    <row r="791">
      <c r="A791" s="18"/>
      <c r="B791" s="2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</row>
    <row r="792">
      <c r="A792" s="18"/>
      <c r="B792" s="2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</row>
    <row r="793">
      <c r="A793" s="18"/>
      <c r="B793" s="2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</row>
    <row r="794">
      <c r="A794" s="18"/>
      <c r="B794" s="2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</row>
    <row r="795">
      <c r="A795" s="18"/>
      <c r="B795" s="2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</row>
    <row r="796">
      <c r="A796" s="18"/>
      <c r="B796" s="2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</row>
    <row r="797">
      <c r="A797" s="18"/>
      <c r="B797" s="2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</row>
    <row r="798">
      <c r="A798" s="18"/>
      <c r="B798" s="2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</row>
    <row r="799">
      <c r="A799" s="18"/>
      <c r="B799" s="2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</row>
    <row r="800">
      <c r="A800" s="18"/>
      <c r="B800" s="2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</row>
    <row r="801">
      <c r="A801" s="18"/>
      <c r="B801" s="2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</row>
    <row r="802">
      <c r="A802" s="18"/>
      <c r="B802" s="2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</row>
    <row r="803">
      <c r="A803" s="18"/>
      <c r="B803" s="2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</row>
    <row r="804">
      <c r="A804" s="18"/>
      <c r="B804" s="2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</row>
    <row r="805">
      <c r="A805" s="18"/>
      <c r="B805" s="2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</row>
    <row r="806">
      <c r="A806" s="18"/>
      <c r="B806" s="2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</row>
    <row r="807">
      <c r="A807" s="18"/>
      <c r="B807" s="2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</row>
    <row r="808">
      <c r="A808" s="18"/>
      <c r="B808" s="2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</row>
    <row r="809">
      <c r="A809" s="18"/>
      <c r="B809" s="2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</row>
    <row r="810">
      <c r="A810" s="18"/>
      <c r="B810" s="2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</row>
    <row r="811">
      <c r="A811" s="18"/>
      <c r="B811" s="2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</row>
    <row r="812">
      <c r="A812" s="18"/>
      <c r="B812" s="2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</row>
    <row r="813">
      <c r="A813" s="18"/>
      <c r="B813" s="2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</row>
    <row r="814">
      <c r="A814" s="18"/>
      <c r="B814" s="2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</row>
    <row r="815">
      <c r="A815" s="18"/>
      <c r="B815" s="2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</row>
    <row r="816">
      <c r="A816" s="18"/>
      <c r="B816" s="2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</row>
    <row r="817">
      <c r="A817" s="18"/>
      <c r="B817" s="2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</row>
    <row r="818">
      <c r="A818" s="18"/>
      <c r="B818" s="2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</row>
    <row r="819">
      <c r="A819" s="18"/>
      <c r="B819" s="2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</row>
    <row r="820">
      <c r="A820" s="18"/>
      <c r="B820" s="2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</row>
    <row r="821">
      <c r="A821" s="18"/>
      <c r="B821" s="2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</row>
    <row r="822">
      <c r="A822" s="18"/>
      <c r="B822" s="2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</row>
    <row r="823">
      <c r="A823" s="18"/>
      <c r="B823" s="2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</row>
    <row r="824">
      <c r="A824" s="18"/>
      <c r="B824" s="2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</row>
    <row r="825">
      <c r="A825" s="18"/>
      <c r="B825" s="2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</row>
    <row r="826">
      <c r="A826" s="18"/>
      <c r="B826" s="2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</row>
    <row r="827">
      <c r="A827" s="18"/>
      <c r="B827" s="2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</row>
    <row r="828">
      <c r="A828" s="18"/>
      <c r="B828" s="2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</row>
    <row r="829">
      <c r="A829" s="18"/>
      <c r="B829" s="2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</row>
    <row r="830">
      <c r="A830" s="18"/>
      <c r="B830" s="2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</row>
    <row r="831">
      <c r="A831" s="18"/>
      <c r="B831" s="2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</row>
    <row r="832">
      <c r="A832" s="18"/>
      <c r="B832" s="2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</row>
    <row r="833">
      <c r="A833" s="18"/>
      <c r="B833" s="2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</row>
    <row r="834">
      <c r="A834" s="18"/>
      <c r="B834" s="2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</row>
    <row r="835">
      <c r="A835" s="18"/>
      <c r="B835" s="2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</row>
    <row r="836">
      <c r="A836" s="18"/>
      <c r="B836" s="2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</row>
    <row r="837">
      <c r="A837" s="18"/>
      <c r="B837" s="2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</row>
    <row r="838">
      <c r="A838" s="18"/>
      <c r="B838" s="2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</row>
    <row r="839">
      <c r="A839" s="18"/>
      <c r="B839" s="2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</row>
    <row r="840">
      <c r="A840" s="18"/>
      <c r="B840" s="2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</row>
    <row r="841">
      <c r="A841" s="18"/>
      <c r="B841" s="2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</row>
    <row r="842">
      <c r="A842" s="18"/>
      <c r="B842" s="2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</row>
    <row r="843">
      <c r="A843" s="18"/>
      <c r="B843" s="2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</row>
    <row r="844">
      <c r="A844" s="18"/>
      <c r="B844" s="2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</row>
    <row r="845">
      <c r="A845" s="18"/>
      <c r="B845" s="2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</row>
    <row r="846">
      <c r="A846" s="18"/>
      <c r="B846" s="2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</row>
    <row r="847">
      <c r="A847" s="18"/>
      <c r="B847" s="2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</row>
    <row r="848">
      <c r="A848" s="18"/>
      <c r="B848" s="2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</row>
    <row r="849">
      <c r="A849" s="18"/>
      <c r="B849" s="2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</row>
    <row r="850">
      <c r="A850" s="18"/>
      <c r="B850" s="2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</row>
    <row r="851">
      <c r="A851" s="18"/>
      <c r="B851" s="2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</row>
    <row r="852">
      <c r="A852" s="18"/>
      <c r="B852" s="2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</row>
    <row r="853">
      <c r="A853" s="18"/>
      <c r="B853" s="2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</row>
    <row r="854">
      <c r="A854" s="18"/>
      <c r="B854" s="2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</row>
    <row r="855">
      <c r="A855" s="18"/>
      <c r="B855" s="2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</row>
    <row r="856">
      <c r="A856" s="18"/>
      <c r="B856" s="2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</row>
    <row r="857">
      <c r="A857" s="18"/>
      <c r="B857" s="2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</row>
    <row r="858">
      <c r="A858" s="18"/>
      <c r="B858" s="2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</row>
    <row r="859">
      <c r="A859" s="18"/>
      <c r="B859" s="2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</row>
    <row r="860">
      <c r="A860" s="18"/>
      <c r="B860" s="2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</row>
    <row r="861">
      <c r="A861" s="18"/>
      <c r="B861" s="2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</row>
    <row r="862">
      <c r="A862" s="18"/>
      <c r="B862" s="2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</row>
    <row r="863">
      <c r="A863" s="18"/>
      <c r="B863" s="2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</row>
    <row r="864">
      <c r="A864" s="18"/>
      <c r="B864" s="2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</row>
    <row r="865">
      <c r="A865" s="18"/>
      <c r="B865" s="2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</row>
    <row r="866">
      <c r="A866" s="18"/>
      <c r="B866" s="2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</row>
    <row r="867">
      <c r="A867" s="18"/>
      <c r="B867" s="2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</row>
    <row r="868">
      <c r="A868" s="18"/>
      <c r="B868" s="2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</row>
    <row r="869">
      <c r="A869" s="18"/>
      <c r="B869" s="2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</row>
    <row r="870">
      <c r="A870" s="18"/>
      <c r="B870" s="2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</row>
    <row r="871">
      <c r="A871" s="18"/>
      <c r="B871" s="2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</row>
    <row r="872">
      <c r="A872" s="18"/>
      <c r="B872" s="2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</row>
    <row r="873">
      <c r="A873" s="18"/>
      <c r="B873" s="2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</row>
    <row r="874">
      <c r="A874" s="18"/>
      <c r="B874" s="2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</row>
    <row r="875">
      <c r="A875" s="18"/>
      <c r="B875" s="2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</row>
    <row r="876">
      <c r="A876" s="18"/>
      <c r="B876" s="2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</row>
    <row r="877">
      <c r="A877" s="18"/>
      <c r="B877" s="2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</row>
    <row r="878">
      <c r="A878" s="18"/>
      <c r="B878" s="2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</row>
    <row r="879">
      <c r="A879" s="18"/>
      <c r="B879" s="2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</row>
    <row r="880">
      <c r="A880" s="18"/>
      <c r="B880" s="2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</row>
    <row r="881">
      <c r="A881" s="18"/>
      <c r="B881" s="2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</row>
    <row r="882">
      <c r="A882" s="18"/>
      <c r="B882" s="2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</row>
    <row r="883">
      <c r="A883" s="18"/>
      <c r="B883" s="2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</row>
    <row r="884">
      <c r="A884" s="18"/>
      <c r="B884" s="2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</row>
    <row r="885">
      <c r="A885" s="18"/>
      <c r="B885" s="2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</row>
    <row r="886">
      <c r="A886" s="18"/>
      <c r="B886" s="2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</row>
    <row r="887">
      <c r="A887" s="18"/>
      <c r="B887" s="2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</row>
    <row r="888">
      <c r="A888" s="18"/>
      <c r="B888" s="2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</row>
    <row r="889">
      <c r="A889" s="18"/>
      <c r="B889" s="2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</row>
    <row r="890">
      <c r="A890" s="18"/>
      <c r="B890" s="2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</row>
    <row r="891">
      <c r="A891" s="18"/>
      <c r="B891" s="2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</row>
    <row r="892">
      <c r="A892" s="18"/>
      <c r="B892" s="2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</row>
    <row r="893">
      <c r="A893" s="18"/>
      <c r="B893" s="2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</row>
    <row r="894">
      <c r="A894" s="18"/>
      <c r="B894" s="2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</row>
    <row r="895">
      <c r="A895" s="18"/>
      <c r="B895" s="2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</row>
    <row r="896">
      <c r="A896" s="18"/>
      <c r="B896" s="2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</row>
    <row r="897">
      <c r="A897" s="18"/>
      <c r="B897" s="2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</row>
    <row r="898">
      <c r="A898" s="18"/>
      <c r="B898" s="2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</row>
    <row r="899">
      <c r="A899" s="18"/>
      <c r="B899" s="2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</row>
    <row r="900">
      <c r="A900" s="18"/>
      <c r="B900" s="2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</row>
    <row r="901">
      <c r="A901" s="18"/>
      <c r="B901" s="2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</row>
    <row r="902">
      <c r="A902" s="18"/>
      <c r="B902" s="2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</row>
    <row r="903">
      <c r="A903" s="18"/>
      <c r="B903" s="2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</row>
    <row r="904">
      <c r="A904" s="18"/>
      <c r="B904" s="2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</row>
    <row r="905">
      <c r="A905" s="18"/>
      <c r="B905" s="2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</row>
    <row r="906">
      <c r="A906" s="18"/>
      <c r="B906" s="2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</row>
    <row r="907">
      <c r="A907" s="18"/>
      <c r="B907" s="2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</row>
    <row r="908">
      <c r="A908" s="18"/>
      <c r="B908" s="2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</row>
    <row r="909">
      <c r="A909" s="18"/>
      <c r="B909" s="2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</row>
    <row r="910">
      <c r="A910" s="18"/>
      <c r="B910" s="2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</row>
    <row r="911">
      <c r="A911" s="18"/>
      <c r="B911" s="2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</row>
    <row r="912">
      <c r="A912" s="18"/>
      <c r="B912" s="2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</row>
    <row r="913">
      <c r="A913" s="18"/>
      <c r="B913" s="2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</row>
    <row r="914">
      <c r="A914" s="18"/>
      <c r="B914" s="2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</row>
    <row r="915">
      <c r="A915" s="18"/>
      <c r="B915" s="2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</row>
    <row r="916">
      <c r="A916" s="18"/>
      <c r="B916" s="2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</row>
    <row r="917">
      <c r="A917" s="18"/>
      <c r="B917" s="2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</row>
    <row r="918">
      <c r="A918" s="18"/>
      <c r="B918" s="2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</row>
    <row r="919">
      <c r="A919" s="18"/>
      <c r="B919" s="2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</row>
    <row r="920">
      <c r="A920" s="18"/>
      <c r="B920" s="2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</row>
    <row r="921">
      <c r="A921" s="18"/>
      <c r="B921" s="2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</row>
    <row r="922">
      <c r="A922" s="18"/>
      <c r="B922" s="2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</row>
    <row r="923">
      <c r="A923" s="18"/>
      <c r="B923" s="2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</row>
    <row r="924">
      <c r="A924" s="18"/>
      <c r="B924" s="2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</row>
    <row r="925">
      <c r="A925" s="18"/>
      <c r="B925" s="2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</row>
    <row r="926">
      <c r="A926" s="18"/>
      <c r="B926" s="2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</row>
    <row r="927">
      <c r="A927" s="18"/>
      <c r="B927" s="2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</row>
    <row r="928">
      <c r="A928" s="18"/>
      <c r="B928" s="2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</row>
    <row r="929">
      <c r="A929" s="18"/>
      <c r="B929" s="2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</row>
    <row r="930">
      <c r="A930" s="18"/>
      <c r="B930" s="2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</row>
    <row r="931">
      <c r="A931" s="18"/>
      <c r="B931" s="2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</row>
    <row r="932">
      <c r="A932" s="18"/>
      <c r="B932" s="2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</row>
    <row r="933">
      <c r="A933" s="18"/>
      <c r="B933" s="2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</row>
    <row r="934">
      <c r="A934" s="18"/>
      <c r="B934" s="2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</row>
    <row r="935">
      <c r="A935" s="18"/>
      <c r="B935" s="2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</row>
    <row r="936">
      <c r="A936" s="18"/>
      <c r="B936" s="2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</row>
    <row r="937">
      <c r="A937" s="18"/>
      <c r="B937" s="2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</row>
    <row r="938">
      <c r="A938" s="18"/>
      <c r="B938" s="2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</row>
    <row r="939">
      <c r="A939" s="18"/>
      <c r="B939" s="2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</row>
    <row r="940">
      <c r="A940" s="18"/>
      <c r="B940" s="2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</row>
    <row r="941">
      <c r="A941" s="18"/>
      <c r="B941" s="2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</row>
    <row r="942">
      <c r="A942" s="18"/>
      <c r="B942" s="2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</row>
    <row r="943">
      <c r="A943" s="18"/>
      <c r="B943" s="2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</row>
    <row r="944">
      <c r="A944" s="18"/>
      <c r="B944" s="2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</row>
    <row r="945">
      <c r="A945" s="18"/>
      <c r="B945" s="2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</row>
    <row r="946">
      <c r="A946" s="18"/>
      <c r="B946" s="2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</row>
    <row r="947">
      <c r="A947" s="18"/>
      <c r="B947" s="2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</row>
    <row r="948">
      <c r="A948" s="18"/>
      <c r="B948" s="2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</row>
    <row r="949">
      <c r="A949" s="18"/>
      <c r="B949" s="2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</row>
    <row r="950">
      <c r="A950" s="18"/>
      <c r="B950" s="2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</row>
    <row r="951">
      <c r="A951" s="18"/>
      <c r="B951" s="2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</row>
    <row r="952">
      <c r="A952" s="18"/>
      <c r="B952" s="2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</row>
    <row r="953">
      <c r="A953" s="18"/>
      <c r="B953" s="2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</row>
    <row r="954">
      <c r="A954" s="18"/>
      <c r="B954" s="2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</row>
    <row r="955">
      <c r="A955" s="18"/>
      <c r="B955" s="2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</row>
    <row r="956">
      <c r="A956" s="18"/>
      <c r="B956" s="2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</row>
    <row r="957">
      <c r="A957" s="18"/>
      <c r="B957" s="2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</row>
    <row r="958">
      <c r="A958" s="18"/>
      <c r="B958" s="2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</row>
    <row r="959">
      <c r="A959" s="18"/>
      <c r="B959" s="2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</row>
    <row r="960">
      <c r="A960" s="18"/>
      <c r="B960" s="2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</row>
    <row r="961">
      <c r="A961" s="18"/>
      <c r="B961" s="2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</row>
    <row r="962">
      <c r="A962" s="18"/>
      <c r="B962" s="2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</row>
    <row r="963">
      <c r="A963" s="18"/>
      <c r="B963" s="2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</row>
    <row r="964">
      <c r="A964" s="18"/>
      <c r="B964" s="2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</row>
    <row r="965">
      <c r="A965" s="18"/>
      <c r="B965" s="2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</row>
    <row r="966">
      <c r="A966" s="18"/>
      <c r="B966" s="2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</row>
    <row r="967">
      <c r="A967" s="18"/>
      <c r="B967" s="2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</row>
    <row r="968">
      <c r="A968" s="18"/>
      <c r="B968" s="2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</row>
    <row r="969">
      <c r="A969" s="18"/>
      <c r="B969" s="2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</row>
    <row r="970">
      <c r="A970" s="18"/>
      <c r="B970" s="2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</row>
    <row r="971">
      <c r="A971" s="18"/>
      <c r="B971" s="2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</row>
    <row r="972">
      <c r="A972" s="18"/>
      <c r="B972" s="2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</row>
    <row r="973">
      <c r="A973" s="18"/>
      <c r="B973" s="2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</row>
    <row r="974">
      <c r="A974" s="18"/>
      <c r="B974" s="2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</row>
    <row r="975">
      <c r="A975" s="18"/>
      <c r="B975" s="2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</row>
    <row r="976">
      <c r="A976" s="18"/>
      <c r="B976" s="2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</row>
    <row r="977">
      <c r="A977" s="18"/>
      <c r="B977" s="2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</row>
    <row r="978">
      <c r="A978" s="18"/>
      <c r="B978" s="2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</row>
    <row r="979">
      <c r="A979" s="18"/>
      <c r="B979" s="2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</row>
    <row r="980">
      <c r="A980" s="18"/>
      <c r="B980" s="2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</row>
    <row r="981">
      <c r="A981" s="18"/>
      <c r="B981" s="2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</row>
    <row r="982">
      <c r="A982" s="18"/>
      <c r="B982" s="2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</row>
    <row r="983">
      <c r="A983" s="18"/>
      <c r="B983" s="2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</row>
    <row r="984">
      <c r="A984" s="18"/>
      <c r="B984" s="2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</row>
    <row r="985">
      <c r="A985" s="18"/>
      <c r="B985" s="2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</row>
    <row r="986">
      <c r="A986" s="18"/>
      <c r="B986" s="2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</row>
    <row r="987">
      <c r="A987" s="18"/>
      <c r="B987" s="2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</row>
    <row r="988">
      <c r="A988" s="18"/>
      <c r="B988" s="2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</row>
    <row r="989">
      <c r="A989" s="18"/>
      <c r="B989" s="2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</row>
    <row r="990">
      <c r="A990" s="18"/>
      <c r="B990" s="2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</row>
    <row r="991">
      <c r="A991" s="18"/>
      <c r="B991" s="2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</row>
    <row r="992">
      <c r="A992" s="18"/>
      <c r="B992" s="2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</row>
    <row r="993">
      <c r="A993" s="18"/>
      <c r="B993" s="2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</row>
    <row r="994">
      <c r="A994" s="18"/>
      <c r="B994" s="2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</row>
    <row r="995">
      <c r="A995" s="18"/>
      <c r="B995" s="2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</row>
    <row r="996">
      <c r="A996" s="18"/>
      <c r="B996" s="2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</row>
    <row r="997">
      <c r="A997" s="18"/>
      <c r="B997" s="2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</row>
    <row r="998">
      <c r="A998" s="18"/>
      <c r="B998" s="2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</row>
    <row r="999">
      <c r="A999" s="18"/>
      <c r="B999" s="2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</row>
    <row r="1000">
      <c r="A1000" s="18"/>
      <c r="B1000" s="2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</row>
  </sheetData>
  <autoFilter ref="$A$1:$K$1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40.25"/>
    <col customWidth="1" min="3" max="3" width="4.25"/>
    <col customWidth="1" min="4" max="4" width="65.25"/>
    <col customWidth="1" min="5" max="5" width="47.38"/>
  </cols>
  <sheetData>
    <row r="1">
      <c r="A1" s="2" t="s">
        <v>230</v>
      </c>
    </row>
    <row r="3">
      <c r="A3" s="29" t="s">
        <v>231</v>
      </c>
      <c r="D3" s="30" t="s">
        <v>232</v>
      </c>
    </row>
    <row r="4">
      <c r="A4" s="31" t="s">
        <v>233</v>
      </c>
      <c r="B4" s="32" t="s">
        <v>234</v>
      </c>
      <c r="D4" s="33" t="s">
        <v>233</v>
      </c>
      <c r="E4" s="33" t="s">
        <v>234</v>
      </c>
    </row>
    <row r="5">
      <c r="A5" s="1" t="s">
        <v>235</v>
      </c>
      <c r="B5" s="34" t="s">
        <v>236</v>
      </c>
      <c r="D5" s="34" t="s">
        <v>237</v>
      </c>
      <c r="E5" s="34" t="s">
        <v>238</v>
      </c>
    </row>
    <row r="6">
      <c r="A6" s="1" t="s">
        <v>239</v>
      </c>
      <c r="B6" s="34" t="s">
        <v>240</v>
      </c>
      <c r="D6" s="34" t="s">
        <v>241</v>
      </c>
      <c r="E6" s="1" t="s">
        <v>242</v>
      </c>
    </row>
    <row r="7">
      <c r="A7" s="1" t="s">
        <v>243</v>
      </c>
      <c r="D7" s="1" t="s">
        <v>244</v>
      </c>
      <c r="E7" s="34" t="s">
        <v>245</v>
      </c>
    </row>
    <row r="8">
      <c r="D8" s="1" t="s">
        <v>246</v>
      </c>
      <c r="E8" s="34" t="s">
        <v>247</v>
      </c>
    </row>
    <row r="9">
      <c r="A9" s="35" t="s">
        <v>248</v>
      </c>
      <c r="D9" s="1" t="s">
        <v>249</v>
      </c>
    </row>
    <row r="10">
      <c r="A10" s="36" t="s">
        <v>233</v>
      </c>
      <c r="B10" s="36" t="s">
        <v>234</v>
      </c>
      <c r="D10" s="1" t="s">
        <v>250</v>
      </c>
    </row>
    <row r="11">
      <c r="A11" s="1" t="s">
        <v>251</v>
      </c>
      <c r="B11" s="1" t="s">
        <v>252</v>
      </c>
      <c r="D11" s="34" t="s">
        <v>253</v>
      </c>
    </row>
    <row r="12">
      <c r="A12" s="1" t="s">
        <v>254</v>
      </c>
      <c r="B12" s="1" t="s">
        <v>255</v>
      </c>
      <c r="D12" s="1"/>
    </row>
    <row r="13">
      <c r="A13" s="1" t="s">
        <v>256</v>
      </c>
      <c r="B13" s="1" t="s">
        <v>257</v>
      </c>
      <c r="D13" s="37" t="s">
        <v>258</v>
      </c>
    </row>
    <row r="14">
      <c r="A14" s="1" t="s">
        <v>259</v>
      </c>
      <c r="B14" s="1" t="s">
        <v>260</v>
      </c>
      <c r="D14" s="38" t="s">
        <v>233</v>
      </c>
      <c r="E14" s="39" t="s">
        <v>234</v>
      </c>
    </row>
    <row r="15">
      <c r="A15" s="1" t="s">
        <v>261</v>
      </c>
      <c r="B15" s="1" t="s">
        <v>262</v>
      </c>
      <c r="D15" s="1" t="s">
        <v>263</v>
      </c>
      <c r="E15" s="1" t="s">
        <v>264</v>
      </c>
    </row>
    <row r="16">
      <c r="A16" s="1" t="s">
        <v>265</v>
      </c>
      <c r="D16" s="1" t="s">
        <v>266</v>
      </c>
      <c r="E16" s="1"/>
    </row>
    <row r="17">
      <c r="A17" s="1" t="s">
        <v>267</v>
      </c>
      <c r="D17" s="1" t="s">
        <v>268</v>
      </c>
      <c r="E17" s="1" t="s">
        <v>269</v>
      </c>
    </row>
    <row r="18">
      <c r="D18" s="1" t="s">
        <v>270</v>
      </c>
      <c r="E18" s="34" t="s">
        <v>271</v>
      </c>
    </row>
    <row r="19">
      <c r="D19" s="1" t="s">
        <v>272</v>
      </c>
    </row>
    <row r="20">
      <c r="D20" s="34" t="s">
        <v>273</v>
      </c>
      <c r="E20" s="34" t="s">
        <v>274</v>
      </c>
    </row>
    <row r="21">
      <c r="D21" s="34" t="s">
        <v>275</v>
      </c>
      <c r="E21" s="34" t="s">
        <v>274</v>
      </c>
    </row>
    <row r="22">
      <c r="E22" s="1">
        <v>5.0</v>
      </c>
    </row>
    <row r="23">
      <c r="D23" s="40" t="s">
        <v>276</v>
      </c>
    </row>
    <row r="24">
      <c r="D24" s="41" t="s">
        <v>233</v>
      </c>
      <c r="E24" s="42" t="s">
        <v>234</v>
      </c>
    </row>
    <row r="25">
      <c r="D25" s="1" t="s">
        <v>277</v>
      </c>
      <c r="E25" s="1" t="s">
        <v>278</v>
      </c>
    </row>
    <row r="26">
      <c r="D26" s="1" t="s">
        <v>279</v>
      </c>
    </row>
    <row r="27">
      <c r="D27" s="1" t="s">
        <v>280</v>
      </c>
      <c r="E27" s="1" t="s">
        <v>278</v>
      </c>
    </row>
    <row r="28">
      <c r="D28" s="1" t="s">
        <v>281</v>
      </c>
    </row>
    <row r="29">
      <c r="D29" s="1" t="s">
        <v>282</v>
      </c>
      <c r="E29" s="1" t="s">
        <v>283</v>
      </c>
    </row>
    <row r="30">
      <c r="D30" s="1" t="s">
        <v>284</v>
      </c>
      <c r="E30" s="1" t="s">
        <v>283</v>
      </c>
    </row>
    <row r="31">
      <c r="D31" s="1" t="s">
        <v>285</v>
      </c>
      <c r="E31" s="1" t="s">
        <v>286</v>
      </c>
    </row>
    <row r="32">
      <c r="D32" s="1" t="s">
        <v>287</v>
      </c>
      <c r="E32" s="1" t="s">
        <v>286</v>
      </c>
    </row>
  </sheetData>
  <mergeCells count="9">
    <mergeCell ref="D13:E13"/>
    <mergeCell ref="D23:E23"/>
    <mergeCell ref="A1:E1"/>
    <mergeCell ref="A3:B3"/>
    <mergeCell ref="D3:E3"/>
    <mergeCell ref="A7:B7"/>
    <mergeCell ref="A9:B9"/>
    <mergeCell ref="A16:B16"/>
    <mergeCell ref="A17:B1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75"/>
    <col customWidth="1" min="2" max="25" width="7.38"/>
  </cols>
  <sheetData>
    <row r="1">
      <c r="A1" s="43" t="s">
        <v>288</v>
      </c>
      <c r="B1" s="44" t="s">
        <v>289</v>
      </c>
      <c r="C1" s="45"/>
      <c r="D1" s="44" t="s">
        <v>290</v>
      </c>
      <c r="E1" s="45"/>
      <c r="F1" s="44" t="s">
        <v>291</v>
      </c>
      <c r="G1" s="45"/>
      <c r="H1" s="44" t="s">
        <v>292</v>
      </c>
      <c r="I1" s="45"/>
      <c r="J1" s="44" t="s">
        <v>293</v>
      </c>
      <c r="K1" s="45"/>
      <c r="L1" s="44" t="s">
        <v>294</v>
      </c>
      <c r="M1" s="45"/>
      <c r="N1" s="44" t="s">
        <v>295</v>
      </c>
      <c r="O1" s="45"/>
      <c r="P1" s="44" t="s">
        <v>296</v>
      </c>
      <c r="Q1" s="45"/>
      <c r="R1" s="44" t="s">
        <v>297</v>
      </c>
      <c r="S1" s="45"/>
      <c r="T1" s="44" t="s">
        <v>298</v>
      </c>
      <c r="U1" s="45"/>
      <c r="V1" s="44" t="s">
        <v>299</v>
      </c>
      <c r="W1" s="45"/>
      <c r="X1" s="44" t="s">
        <v>300</v>
      </c>
      <c r="Y1" s="45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</row>
    <row r="2">
      <c r="A2" s="47"/>
      <c r="B2" s="48" t="s">
        <v>301</v>
      </c>
      <c r="C2" s="48" t="s">
        <v>302</v>
      </c>
      <c r="D2" s="48" t="s">
        <v>301</v>
      </c>
      <c r="E2" s="48" t="s">
        <v>302</v>
      </c>
      <c r="F2" s="48" t="s">
        <v>301</v>
      </c>
      <c r="G2" s="48" t="s">
        <v>302</v>
      </c>
      <c r="H2" s="48" t="s">
        <v>301</v>
      </c>
      <c r="I2" s="48" t="s">
        <v>302</v>
      </c>
      <c r="J2" s="48" t="s">
        <v>301</v>
      </c>
      <c r="K2" s="48" t="s">
        <v>302</v>
      </c>
      <c r="L2" s="48" t="s">
        <v>301</v>
      </c>
      <c r="M2" s="48" t="s">
        <v>302</v>
      </c>
      <c r="N2" s="48" t="s">
        <v>301</v>
      </c>
      <c r="O2" s="48" t="s">
        <v>302</v>
      </c>
      <c r="P2" s="48" t="s">
        <v>301</v>
      </c>
      <c r="Q2" s="48" t="s">
        <v>302</v>
      </c>
      <c r="R2" s="48" t="s">
        <v>301</v>
      </c>
      <c r="S2" s="48" t="s">
        <v>302</v>
      </c>
      <c r="T2" s="48" t="s">
        <v>301</v>
      </c>
      <c r="U2" s="48" t="s">
        <v>302</v>
      </c>
      <c r="V2" s="48" t="s">
        <v>301</v>
      </c>
      <c r="W2" s="48" t="s">
        <v>302</v>
      </c>
      <c r="X2" s="48" t="s">
        <v>301</v>
      </c>
      <c r="Y2" s="48" t="s">
        <v>302</v>
      </c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</row>
    <row r="3">
      <c r="A3" s="49" t="s">
        <v>237</v>
      </c>
      <c r="B3" s="50">
        <v>5133.0</v>
      </c>
      <c r="C3" s="51">
        <v>3.952961833</v>
      </c>
      <c r="D3" s="50">
        <v>117336.0</v>
      </c>
      <c r="E3" s="51">
        <v>19.43041475</v>
      </c>
      <c r="F3" s="50">
        <v>3213.0</v>
      </c>
      <c r="G3" s="51">
        <v>4.698673608</v>
      </c>
      <c r="H3" s="52">
        <v>76673.0</v>
      </c>
      <c r="I3" s="51">
        <v>21.67581688</v>
      </c>
      <c r="J3" s="52">
        <v>244.0</v>
      </c>
      <c r="K3" s="51">
        <v>1.305720554</v>
      </c>
      <c r="L3" s="53">
        <v>45177.0</v>
      </c>
      <c r="M3" s="51">
        <v>20.8365619</v>
      </c>
      <c r="N3" s="52">
        <v>447.0</v>
      </c>
      <c r="O3" s="51">
        <v>4.91100857</v>
      </c>
      <c r="P3" s="52">
        <v>26421.0</v>
      </c>
      <c r="Q3" s="51">
        <v>15.9991522</v>
      </c>
      <c r="R3" s="52">
        <v>223.0</v>
      </c>
      <c r="S3" s="51">
        <v>6.79878049</v>
      </c>
      <c r="T3" s="52">
        <v>9553.0</v>
      </c>
      <c r="U3" s="51">
        <v>15.0440945</v>
      </c>
      <c r="V3" s="52">
        <v>1228.0</v>
      </c>
      <c r="W3" s="51">
        <v>2.9547642</v>
      </c>
      <c r="X3" s="52">
        <v>6709.0</v>
      </c>
      <c r="Y3" s="51">
        <v>8.91111465</v>
      </c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</row>
    <row r="4">
      <c r="A4" s="49" t="s">
        <v>241</v>
      </c>
      <c r="B4" s="50">
        <v>190.0</v>
      </c>
      <c r="C4" s="51">
        <f t="shared" ref="C4:C5" si="1">(B4/B17)*100</f>
        <v>4.102785575</v>
      </c>
      <c r="D4" s="50">
        <v>16027.0</v>
      </c>
      <c r="E4" s="51">
        <f>(D4/D17)*100</f>
        <v>24.53162309</v>
      </c>
      <c r="F4" s="50">
        <v>57.0</v>
      </c>
      <c r="G4" s="51">
        <f t="shared" ref="G4:G5" si="2">(F4/F17)*100</f>
        <v>7.58988016</v>
      </c>
      <c r="H4" s="52">
        <v>6917.0</v>
      </c>
      <c r="I4" s="51">
        <f t="shared" ref="I4:I5" si="3">(H4/H17)*100</f>
        <v>24.83127513</v>
      </c>
      <c r="J4" s="52">
        <v>45.0</v>
      </c>
      <c r="K4" s="51">
        <f t="shared" ref="K4:K5" si="4">(J4/J17)*100</f>
        <v>1.511081263</v>
      </c>
      <c r="L4" s="52">
        <v>8205.0</v>
      </c>
      <c r="M4" s="51">
        <f t="shared" ref="M4:M5" si="5">(L4/L17)*100</f>
        <v>26.72638436</v>
      </c>
      <c r="N4" s="52">
        <v>9.0</v>
      </c>
      <c r="O4" s="51">
        <f t="shared" ref="O4:O5" si="6">(N4/N17)*100</f>
        <v>3.813559322</v>
      </c>
      <c r="P4" s="52">
        <v>7635.0</v>
      </c>
      <c r="Q4" s="51">
        <f t="shared" ref="Q4:Q5" si="7">(P4/P17)*100</f>
        <v>25.67940266</v>
      </c>
      <c r="R4" s="52">
        <v>63.0</v>
      </c>
      <c r="S4" s="51">
        <f t="shared" ref="S4:S5" si="8">(R4/R17)*100</f>
        <v>13.9380531</v>
      </c>
      <c r="T4" s="52">
        <v>2654.0</v>
      </c>
      <c r="U4" s="51">
        <f t="shared" ref="U4:U5" si="9">(T4/T17)*100</f>
        <v>23.84760536</v>
      </c>
      <c r="V4" s="52">
        <v>36.0</v>
      </c>
      <c r="W4" s="51">
        <f t="shared" ref="W4:W5" si="10">(V4/V17)*100</f>
        <v>5.705229794</v>
      </c>
      <c r="X4" s="52">
        <v>428.0</v>
      </c>
      <c r="Y4" s="51">
        <f t="shared" ref="Y4:Y5" si="11">(X4/X17)*100</f>
        <v>15.25846702</v>
      </c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</row>
    <row r="5">
      <c r="A5" s="54" t="s">
        <v>244</v>
      </c>
      <c r="B5" s="50">
        <v>117.0</v>
      </c>
      <c r="C5" s="55">
        <f t="shared" si="1"/>
        <v>3.500897666</v>
      </c>
      <c r="D5" s="50">
        <v>9135.0</v>
      </c>
      <c r="E5" s="51">
        <f>((D5/D18)*100)</f>
        <v>22.117573</v>
      </c>
      <c r="F5" s="50">
        <v>37.0</v>
      </c>
      <c r="G5" s="51">
        <f t="shared" si="2"/>
        <v>7.061068702</v>
      </c>
      <c r="H5" s="52">
        <v>2784.0</v>
      </c>
      <c r="I5" s="51">
        <f t="shared" si="3"/>
        <v>20.66661718</v>
      </c>
      <c r="J5" s="52">
        <v>35.0</v>
      </c>
      <c r="K5" s="51">
        <f t="shared" si="4"/>
        <v>1.577287066</v>
      </c>
      <c r="L5" s="52">
        <v>5270.0</v>
      </c>
      <c r="M5" s="51">
        <f t="shared" si="5"/>
        <v>24.75456809</v>
      </c>
      <c r="N5" s="52">
        <v>3.0</v>
      </c>
      <c r="O5" s="51">
        <f t="shared" si="6"/>
        <v>1.910828025</v>
      </c>
      <c r="P5" s="52">
        <v>4716.0</v>
      </c>
      <c r="Q5" s="51">
        <f t="shared" si="7"/>
        <v>23.6782648</v>
      </c>
      <c r="R5" s="52">
        <v>34.0</v>
      </c>
      <c r="S5" s="51">
        <f t="shared" si="8"/>
        <v>12.5</v>
      </c>
      <c r="T5" s="52">
        <v>1288.0</v>
      </c>
      <c r="U5" s="51">
        <f t="shared" si="9"/>
        <v>20.75076527</v>
      </c>
      <c r="V5" s="52">
        <v>21.0</v>
      </c>
      <c r="W5" s="51">
        <f t="shared" si="10"/>
        <v>4.575163399</v>
      </c>
      <c r="X5" s="52">
        <v>274.0</v>
      </c>
      <c r="Y5" s="51">
        <f t="shared" si="11"/>
        <v>13.42479177</v>
      </c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</row>
    <row r="6">
      <c r="A6" s="54" t="s">
        <v>246</v>
      </c>
      <c r="B6" s="52">
        <v>8464.0</v>
      </c>
      <c r="C6" s="51">
        <v>6.51981361</v>
      </c>
      <c r="D6" s="50">
        <v>15728.0</v>
      </c>
      <c r="E6" s="51">
        <v>2.60416408</v>
      </c>
      <c r="F6" s="50">
        <v>3524.0</v>
      </c>
      <c r="G6" s="51">
        <v>5.15355367</v>
      </c>
      <c r="H6" s="52">
        <v>12227.0</v>
      </c>
      <c r="I6" s="51">
        <v>3.45664005</v>
      </c>
      <c r="J6" s="52">
        <v>6437.0</v>
      </c>
      <c r="K6" s="51">
        <v>34.4464066</v>
      </c>
      <c r="L6" s="52">
        <v>12508.0</v>
      </c>
      <c r="M6" s="51">
        <v>5.76894694</v>
      </c>
      <c r="N6" s="52">
        <v>1794.0</v>
      </c>
      <c r="O6" s="51">
        <v>19.7099539</v>
      </c>
      <c r="P6" s="52">
        <v>2546.0</v>
      </c>
      <c r="Q6" s="51">
        <v>1.54172218</v>
      </c>
      <c r="R6" s="52">
        <v>1038.0</v>
      </c>
      <c r="S6" s="51">
        <v>31.6463415</v>
      </c>
      <c r="T6" s="52">
        <v>7439.0</v>
      </c>
      <c r="U6" s="51">
        <v>11.7149606</v>
      </c>
      <c r="V6" s="52">
        <v>1261.0</v>
      </c>
      <c r="W6" s="51">
        <v>3.03416747</v>
      </c>
      <c r="X6" s="52">
        <v>3238.0</v>
      </c>
      <c r="Y6" s="51">
        <v>4.30081819</v>
      </c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</row>
    <row r="7">
      <c r="A7" s="54" t="s">
        <v>249</v>
      </c>
      <c r="B7" s="52">
        <v>1983.0</v>
      </c>
      <c r="C7" s="51">
        <f t="shared" ref="C7:C8" si="12">(B7/B17)*100</f>
        <v>42.82012524</v>
      </c>
      <c r="D7" s="56">
        <v>4261.0</v>
      </c>
      <c r="E7" s="51">
        <f t="shared" ref="E7:E8" si="13">(D7/D17)*100</f>
        <v>6.522071879</v>
      </c>
      <c r="F7" s="56">
        <v>378.0</v>
      </c>
      <c r="G7" s="51">
        <f t="shared" ref="G7:G8" si="14">(F7/F17)*100</f>
        <v>50.33288948</v>
      </c>
      <c r="H7" s="52">
        <v>2776.0</v>
      </c>
      <c r="I7" s="51">
        <f t="shared" ref="I7:I8" si="15">(H7/H17)*100</f>
        <v>9.965537048</v>
      </c>
      <c r="J7" s="52">
        <v>1833.0</v>
      </c>
      <c r="K7" s="51">
        <f t="shared" ref="K7:K8" si="16">(J7/J17)*100</f>
        <v>61.55137676</v>
      </c>
      <c r="L7" s="52">
        <v>3681.0</v>
      </c>
      <c r="M7" s="51">
        <f t="shared" ref="M7:M8" si="17">(L7/L17)*100</f>
        <v>11.99022801</v>
      </c>
      <c r="N7" s="52">
        <v>130.0</v>
      </c>
      <c r="O7" s="51">
        <f t="shared" ref="O7:O8" si="18">(N7/N17)*100</f>
        <v>55.08474576</v>
      </c>
      <c r="P7" s="52">
        <v>759.0</v>
      </c>
      <c r="Q7" s="51">
        <f t="shared" ref="Q7:Q8" si="19">(P7/P17)*100</f>
        <v>2.552805059</v>
      </c>
      <c r="R7" s="52">
        <v>195.0</v>
      </c>
      <c r="S7" s="51">
        <f t="shared" ref="S7:S8" si="20">(R7/R17)*100</f>
        <v>43.14159292</v>
      </c>
      <c r="T7" s="52">
        <v>2024.0</v>
      </c>
      <c r="U7" s="51">
        <f t="shared" ref="U7:U8" si="21">(T7/T17)*100</f>
        <v>18.18671938</v>
      </c>
      <c r="V7" s="52">
        <v>302.0</v>
      </c>
      <c r="W7" s="51">
        <f t="shared" ref="W7:W8" si="22">(V7/V17)*100</f>
        <v>47.86053883</v>
      </c>
      <c r="X7" s="52">
        <v>821.0</v>
      </c>
      <c r="Y7" s="51">
        <f t="shared" ref="Y7:Y8" si="23">(X7/X17)*100</f>
        <v>29.26916221</v>
      </c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</row>
    <row r="8">
      <c r="A8" s="54" t="s">
        <v>250</v>
      </c>
      <c r="B8" s="52">
        <v>1516.0</v>
      </c>
      <c r="C8" s="51">
        <f t="shared" si="12"/>
        <v>45.36205865</v>
      </c>
      <c r="D8" s="56">
        <v>3241.0</v>
      </c>
      <c r="E8" s="51">
        <f t="shared" si="13"/>
        <v>7.847077623</v>
      </c>
      <c r="F8" s="56">
        <v>280.0</v>
      </c>
      <c r="G8" s="51">
        <f t="shared" si="14"/>
        <v>53.4351145</v>
      </c>
      <c r="H8" s="52">
        <v>1990.0</v>
      </c>
      <c r="I8" s="51">
        <f t="shared" si="15"/>
        <v>14.7724742</v>
      </c>
      <c r="J8" s="52">
        <v>1425.0</v>
      </c>
      <c r="K8" s="51">
        <f t="shared" si="16"/>
        <v>64.21811627</v>
      </c>
      <c r="L8" s="52">
        <v>2813.0</v>
      </c>
      <c r="M8" s="51">
        <f t="shared" si="17"/>
        <v>13.21339659</v>
      </c>
      <c r="N8" s="52">
        <v>93.0</v>
      </c>
      <c r="O8" s="51">
        <f t="shared" si="18"/>
        <v>59.23566879</v>
      </c>
      <c r="P8" s="52">
        <v>575.0</v>
      </c>
      <c r="Q8" s="51">
        <f t="shared" si="19"/>
        <v>2.886980971</v>
      </c>
      <c r="R8" s="52">
        <v>130.0</v>
      </c>
      <c r="S8" s="51">
        <f t="shared" si="20"/>
        <v>47.79411765</v>
      </c>
      <c r="T8" s="52">
        <v>1420.0</v>
      </c>
      <c r="U8" s="51">
        <f t="shared" si="21"/>
        <v>22.87739649</v>
      </c>
      <c r="V8" s="52">
        <v>232.0</v>
      </c>
      <c r="W8" s="51">
        <f t="shared" si="22"/>
        <v>50.54466231</v>
      </c>
      <c r="X8" s="52">
        <v>637.0</v>
      </c>
      <c r="Y8" s="51">
        <f t="shared" si="23"/>
        <v>31.21019108</v>
      </c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</row>
    <row r="9">
      <c r="A9" s="57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</row>
    <row r="10">
      <c r="A10" s="59" t="s">
        <v>303</v>
      </c>
      <c r="B10" s="60" t="s">
        <v>289</v>
      </c>
      <c r="C10" s="45"/>
      <c r="D10" s="60" t="s">
        <v>290</v>
      </c>
      <c r="E10" s="45"/>
      <c r="F10" s="60" t="s">
        <v>291</v>
      </c>
      <c r="G10" s="45"/>
      <c r="H10" s="60" t="s">
        <v>292</v>
      </c>
      <c r="I10" s="45"/>
      <c r="J10" s="60" t="s">
        <v>293</v>
      </c>
      <c r="K10" s="45"/>
      <c r="L10" s="60" t="s">
        <v>294</v>
      </c>
      <c r="M10" s="45"/>
      <c r="N10" s="60" t="s">
        <v>295</v>
      </c>
      <c r="O10" s="45"/>
      <c r="P10" s="60" t="s">
        <v>296</v>
      </c>
      <c r="Q10" s="45"/>
      <c r="R10" s="60" t="s">
        <v>297</v>
      </c>
      <c r="S10" s="45"/>
      <c r="T10" s="60" t="s">
        <v>298</v>
      </c>
      <c r="U10" s="45"/>
      <c r="V10" s="60" t="s">
        <v>299</v>
      </c>
      <c r="W10" s="45"/>
      <c r="X10" s="60" t="s">
        <v>300</v>
      </c>
      <c r="Y10" s="45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</row>
    <row r="11">
      <c r="A11" s="47"/>
      <c r="B11" s="61" t="s">
        <v>301</v>
      </c>
      <c r="C11" s="61" t="s">
        <v>302</v>
      </c>
      <c r="D11" s="61" t="s">
        <v>301</v>
      </c>
      <c r="E11" s="61" t="s">
        <v>302</v>
      </c>
      <c r="F11" s="61" t="s">
        <v>301</v>
      </c>
      <c r="G11" s="61" t="s">
        <v>302</v>
      </c>
      <c r="H11" s="61" t="s">
        <v>301</v>
      </c>
      <c r="I11" s="61" t="s">
        <v>302</v>
      </c>
      <c r="J11" s="61" t="s">
        <v>301</v>
      </c>
      <c r="K11" s="61" t="s">
        <v>302</v>
      </c>
      <c r="L11" s="61" t="s">
        <v>301</v>
      </c>
      <c r="M11" s="61" t="s">
        <v>302</v>
      </c>
      <c r="N11" s="61" t="s">
        <v>301</v>
      </c>
      <c r="O11" s="61" t="s">
        <v>302</v>
      </c>
      <c r="P11" s="61" t="s">
        <v>301</v>
      </c>
      <c r="Q11" s="61" t="s">
        <v>302</v>
      </c>
      <c r="R11" s="61" t="s">
        <v>301</v>
      </c>
      <c r="S11" s="61" t="s">
        <v>302</v>
      </c>
      <c r="T11" s="61" t="s">
        <v>301</v>
      </c>
      <c r="U11" s="61" t="s">
        <v>302</v>
      </c>
      <c r="V11" s="61" t="s">
        <v>301</v>
      </c>
      <c r="W11" s="61" t="s">
        <v>302</v>
      </c>
      <c r="X11" s="61" t="s">
        <v>301</v>
      </c>
      <c r="Y11" s="61" t="s">
        <v>302</v>
      </c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</row>
    <row r="12">
      <c r="A12" s="54" t="s">
        <v>235</v>
      </c>
      <c r="B12" s="52">
        <v>11160.0</v>
      </c>
      <c r="C12" s="51">
        <v>8.594399778</v>
      </c>
      <c r="D12" s="52">
        <v>50738.0</v>
      </c>
      <c r="E12" s="51">
        <v>8.402028224</v>
      </c>
      <c r="F12" s="52">
        <v>6243.0</v>
      </c>
      <c r="G12" s="51">
        <v>9.129862533</v>
      </c>
      <c r="H12" s="53">
        <v>28928.0</v>
      </c>
      <c r="I12" s="51">
        <v>8.17808134</v>
      </c>
      <c r="J12" s="52">
        <v>914.0</v>
      </c>
      <c r="K12" s="51">
        <v>4.89110077</v>
      </c>
      <c r="L12" s="53">
        <v>19434.0</v>
      </c>
      <c r="M12" s="51">
        <v>8.96336064</v>
      </c>
      <c r="N12" s="53">
        <v>479.0</v>
      </c>
      <c r="O12" s="51">
        <v>5.26257965</v>
      </c>
      <c r="P12" s="53">
        <v>16619.0</v>
      </c>
      <c r="Q12" s="51">
        <v>10.0635824</v>
      </c>
      <c r="R12" s="53">
        <v>112.0</v>
      </c>
      <c r="S12" s="51">
        <v>3.41463415</v>
      </c>
      <c r="T12" s="53">
        <v>6418.0</v>
      </c>
      <c r="U12" s="51">
        <v>10.1070866</v>
      </c>
      <c r="V12" s="53">
        <v>4032.0</v>
      </c>
      <c r="W12" s="51">
        <v>9.70163619</v>
      </c>
      <c r="X12" s="53">
        <v>7048.0</v>
      </c>
      <c r="Y12" s="51">
        <v>9.36138561</v>
      </c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</row>
    <row r="13">
      <c r="A13" s="54" t="s">
        <v>239</v>
      </c>
      <c r="B13" s="52">
        <v>1673.0</v>
      </c>
      <c r="C13" s="51">
        <v>1.288389859</v>
      </c>
      <c r="D13" s="52">
        <v>847.0</v>
      </c>
      <c r="E13" s="51">
        <v>0.140260119</v>
      </c>
      <c r="F13" s="52">
        <v>257.0</v>
      </c>
      <c r="G13" s="51">
        <v>0.375840889</v>
      </c>
      <c r="H13" s="53">
        <v>352.0</v>
      </c>
      <c r="I13" s="51">
        <v>0.09951205</v>
      </c>
      <c r="J13" s="52">
        <v>400.0</v>
      </c>
      <c r="K13" s="51">
        <v>2.1405255</v>
      </c>
      <c r="L13" s="52">
        <v>190.0</v>
      </c>
      <c r="M13" s="51">
        <v>0.08763191</v>
      </c>
      <c r="N13" s="53">
        <v>103.0</v>
      </c>
      <c r="O13" s="51">
        <v>1.13161942</v>
      </c>
      <c r="P13" s="53">
        <v>124.0</v>
      </c>
      <c r="Q13" s="51">
        <v>0.0750878</v>
      </c>
      <c r="R13" s="53">
        <v>44.0</v>
      </c>
      <c r="S13" s="51">
        <v>0.13414634</v>
      </c>
      <c r="T13" s="53">
        <v>91.0</v>
      </c>
      <c r="U13" s="51">
        <v>0.14330709</v>
      </c>
      <c r="V13" s="53">
        <v>931.0</v>
      </c>
      <c r="W13" s="51">
        <v>2.24013474</v>
      </c>
      <c r="X13" s="53">
        <v>173.0</v>
      </c>
      <c r="Y13" s="51">
        <v>0.22978429</v>
      </c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</row>
    <row r="14">
      <c r="A14" s="46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</row>
    <row r="15">
      <c r="A15" s="62" t="s">
        <v>304</v>
      </c>
      <c r="B15" s="63" t="s">
        <v>289</v>
      </c>
      <c r="C15" s="45"/>
      <c r="D15" s="63" t="s">
        <v>290</v>
      </c>
      <c r="E15" s="45"/>
      <c r="F15" s="63" t="s">
        <v>291</v>
      </c>
      <c r="G15" s="45"/>
      <c r="H15" s="63" t="s">
        <v>292</v>
      </c>
      <c r="I15" s="45"/>
      <c r="J15" s="63" t="s">
        <v>293</v>
      </c>
      <c r="K15" s="45"/>
      <c r="L15" s="63" t="s">
        <v>294</v>
      </c>
      <c r="M15" s="45"/>
      <c r="N15" s="63" t="s">
        <v>295</v>
      </c>
      <c r="O15" s="45"/>
      <c r="P15" s="63" t="s">
        <v>296</v>
      </c>
      <c r="Q15" s="45"/>
      <c r="R15" s="63" t="s">
        <v>297</v>
      </c>
      <c r="S15" s="45"/>
      <c r="T15" s="63" t="s">
        <v>298</v>
      </c>
      <c r="U15" s="45"/>
      <c r="V15" s="63" t="s">
        <v>299</v>
      </c>
      <c r="W15" s="45"/>
      <c r="X15" s="63" t="s">
        <v>300</v>
      </c>
      <c r="Y15" s="45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</row>
    <row r="16">
      <c r="A16" s="47"/>
      <c r="B16" s="64" t="s">
        <v>301</v>
      </c>
      <c r="C16" s="64" t="s">
        <v>302</v>
      </c>
      <c r="D16" s="64" t="s">
        <v>301</v>
      </c>
      <c r="E16" s="64" t="s">
        <v>302</v>
      </c>
      <c r="F16" s="64" t="s">
        <v>301</v>
      </c>
      <c r="G16" s="64" t="s">
        <v>302</v>
      </c>
      <c r="H16" s="64" t="s">
        <v>301</v>
      </c>
      <c r="I16" s="64" t="s">
        <v>302</v>
      </c>
      <c r="J16" s="64" t="s">
        <v>301</v>
      </c>
      <c r="K16" s="64" t="s">
        <v>302</v>
      </c>
      <c r="L16" s="64" t="s">
        <v>301</v>
      </c>
      <c r="M16" s="64" t="s">
        <v>302</v>
      </c>
      <c r="N16" s="64" t="s">
        <v>301</v>
      </c>
      <c r="O16" s="64" t="s">
        <v>302</v>
      </c>
      <c r="P16" s="64" t="s">
        <v>301</v>
      </c>
      <c r="Q16" s="64" t="s">
        <v>302</v>
      </c>
      <c r="R16" s="64" t="s">
        <v>301</v>
      </c>
      <c r="S16" s="64" t="s">
        <v>302</v>
      </c>
      <c r="T16" s="64" t="s">
        <v>301</v>
      </c>
      <c r="U16" s="64" t="s">
        <v>302</v>
      </c>
      <c r="V16" s="64" t="s">
        <v>301</v>
      </c>
      <c r="W16" s="64" t="s">
        <v>302</v>
      </c>
      <c r="X16" s="64" t="s">
        <v>301</v>
      </c>
      <c r="Y16" s="64" t="s">
        <v>302</v>
      </c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</row>
    <row r="17">
      <c r="A17" s="54" t="s">
        <v>251</v>
      </c>
      <c r="B17" s="52">
        <v>4631.0</v>
      </c>
      <c r="C17" s="51">
        <v>3.56636786</v>
      </c>
      <c r="D17" s="52">
        <v>65332.0</v>
      </c>
      <c r="E17" s="51">
        <v>10.8187415</v>
      </c>
      <c r="F17" s="52">
        <v>751.0</v>
      </c>
      <c r="G17" s="51">
        <v>1.09827435</v>
      </c>
      <c r="H17" s="52">
        <v>27856.0</v>
      </c>
      <c r="I17" s="51">
        <v>7.87502191</v>
      </c>
      <c r="J17" s="52">
        <v>2978.0</v>
      </c>
      <c r="K17" s="51">
        <v>15.9362123</v>
      </c>
      <c r="L17" s="53">
        <v>30700.0</v>
      </c>
      <c r="M17" s="51">
        <v>14.1594716</v>
      </c>
      <c r="N17" s="53">
        <v>236.0</v>
      </c>
      <c r="O17" s="51">
        <v>2.59283674</v>
      </c>
      <c r="P17" s="53">
        <v>29732.0</v>
      </c>
      <c r="Q17" s="51">
        <v>18.0041177</v>
      </c>
      <c r="R17" s="53">
        <v>452.0</v>
      </c>
      <c r="S17" s="51">
        <v>13.7804878</v>
      </c>
      <c r="T17" s="53">
        <v>11129.0</v>
      </c>
      <c r="U17" s="51">
        <v>17.5259843</v>
      </c>
      <c r="V17" s="52">
        <v>631.0</v>
      </c>
      <c r="W17" s="51">
        <v>1.51828681</v>
      </c>
      <c r="X17" s="52">
        <v>2805.0</v>
      </c>
      <c r="Y17" s="51">
        <v>3.72569334</v>
      </c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</row>
    <row r="18">
      <c r="A18" s="54" t="s">
        <v>256</v>
      </c>
      <c r="B18" s="52">
        <v>3342.0</v>
      </c>
      <c r="C18" s="51">
        <v>2.57369929</v>
      </c>
      <c r="D18" s="52">
        <v>41302.0</v>
      </c>
      <c r="E18" s="51">
        <v>6.83946095</v>
      </c>
      <c r="F18" s="52">
        <v>524.0</v>
      </c>
      <c r="G18" s="51">
        <v>0.76630594</v>
      </c>
      <c r="H18" s="52">
        <v>13471.0</v>
      </c>
      <c r="I18" s="51">
        <v>3.80831491</v>
      </c>
      <c r="J18" s="52">
        <v>2219.0</v>
      </c>
      <c r="K18" s="51">
        <v>11.8745652</v>
      </c>
      <c r="L18" s="53">
        <v>21289.0</v>
      </c>
      <c r="M18" s="51">
        <v>9.8189248</v>
      </c>
      <c r="N18" s="53">
        <v>157.0</v>
      </c>
      <c r="O18" s="51">
        <v>1.72489563</v>
      </c>
      <c r="P18" s="53">
        <v>19917.0</v>
      </c>
      <c r="Q18" s="51">
        <v>12.0606758</v>
      </c>
      <c r="R18" s="53">
        <v>272.0</v>
      </c>
      <c r="S18" s="51">
        <v>8.29268293</v>
      </c>
      <c r="T18" s="53">
        <v>6207.0</v>
      </c>
      <c r="U18" s="51">
        <v>9.77480315</v>
      </c>
      <c r="V18" s="52">
        <v>459.0</v>
      </c>
      <c r="W18" s="51">
        <v>1.10442733</v>
      </c>
      <c r="X18" s="52">
        <v>2041.0</v>
      </c>
      <c r="Y18" s="51">
        <v>2.71092339</v>
      </c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</row>
    <row r="19">
      <c r="A19" s="49" t="s">
        <v>305</v>
      </c>
      <c r="B19" s="52">
        <v>0.0</v>
      </c>
      <c r="C19" s="51">
        <v>0.0</v>
      </c>
      <c r="D19" s="52">
        <v>0.0</v>
      </c>
      <c r="E19" s="51">
        <v>0.0</v>
      </c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</row>
    <row r="20">
      <c r="A20" s="66" t="s">
        <v>306</v>
      </c>
      <c r="B20" s="67">
        <v>5.0</v>
      </c>
      <c r="C20" s="68">
        <v>0.00385054</v>
      </c>
      <c r="D20" s="67">
        <v>4.0</v>
      </c>
      <c r="E20" s="69">
        <v>6.6239E-4</v>
      </c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>
      <c r="A22" s="72" t="s">
        <v>307</v>
      </c>
      <c r="B22" s="73"/>
      <c r="D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>
      <c r="A23" s="75"/>
      <c r="B23" s="76" t="s">
        <v>308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</row>
    <row r="24">
      <c r="A24" s="77" t="s">
        <v>309</v>
      </c>
      <c r="B24" s="78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</row>
    <row r="25">
      <c r="A25" s="79" t="s">
        <v>310</v>
      </c>
      <c r="B25" s="78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</row>
    <row r="26">
      <c r="A26" s="80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</row>
    <row r="27">
      <c r="A27" s="46"/>
      <c r="B27" s="57" t="s">
        <v>311</v>
      </c>
      <c r="C27" s="57" t="s">
        <v>312</v>
      </c>
      <c r="D27" s="46"/>
      <c r="E27" s="46"/>
      <c r="F27" s="46"/>
      <c r="G27" s="46"/>
      <c r="H27" s="57"/>
      <c r="L27" s="57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</row>
    <row r="28">
      <c r="A28" s="54" t="s">
        <v>313</v>
      </c>
      <c r="B28" s="81">
        <v>0.803482414602735</v>
      </c>
      <c r="C28" s="82">
        <v>0.0</v>
      </c>
      <c r="D28" s="83"/>
      <c r="E28" s="83"/>
      <c r="G28" s="4"/>
      <c r="I28" s="57"/>
      <c r="J28" s="57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</row>
    <row r="29">
      <c r="A29" s="54" t="s">
        <v>314</v>
      </c>
      <c r="B29" s="84">
        <v>0.767155679588021</v>
      </c>
      <c r="C29" s="82">
        <v>0.0</v>
      </c>
      <c r="D29" s="85"/>
      <c r="E29" s="85"/>
      <c r="G29" s="86"/>
      <c r="H29" s="57"/>
      <c r="I29" s="46"/>
      <c r="J29" s="57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</row>
    <row r="30">
      <c r="A30" s="54" t="s">
        <v>315</v>
      </c>
      <c r="B30" s="84">
        <v>0.75751471072437</v>
      </c>
      <c r="C30" s="82">
        <v>0.0</v>
      </c>
      <c r="D30" s="85"/>
      <c r="E30" s="85"/>
      <c r="G30" s="86"/>
      <c r="H30" s="46"/>
      <c r="I30" s="46"/>
      <c r="J30" s="57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</row>
    <row r="31">
      <c r="A31" s="54" t="s">
        <v>316</v>
      </c>
      <c r="B31" s="84">
        <v>0.696215555282505</v>
      </c>
      <c r="C31" s="82">
        <v>0.0</v>
      </c>
      <c r="D31" s="85"/>
      <c r="E31" s="85"/>
      <c r="G31" s="86"/>
      <c r="H31" s="46"/>
      <c r="I31" s="46"/>
      <c r="J31" s="57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</row>
    <row r="32">
      <c r="A32" s="54" t="s">
        <v>317</v>
      </c>
      <c r="B32" s="84">
        <v>0.811337429006336</v>
      </c>
      <c r="C32" s="82">
        <v>0.0</v>
      </c>
      <c r="D32" s="85"/>
      <c r="E32" s="85"/>
      <c r="G32" s="86"/>
      <c r="H32" s="46"/>
      <c r="I32" s="46"/>
      <c r="J32" s="57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</row>
    <row r="33">
      <c r="A33" s="54" t="s">
        <v>318</v>
      </c>
      <c r="B33" s="84">
        <v>0.759526954057808</v>
      </c>
      <c r="C33" s="82">
        <v>0.0</v>
      </c>
      <c r="D33" s="87" t="s">
        <v>319</v>
      </c>
      <c r="E33" s="85"/>
      <c r="G33" s="86"/>
      <c r="H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</row>
    <row r="34"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</row>
    <row r="35">
      <c r="B35" s="88" t="s">
        <v>320</v>
      </c>
      <c r="C35" s="45"/>
      <c r="D35" s="88" t="s">
        <v>321</v>
      </c>
      <c r="E35" s="45"/>
      <c r="F35" s="88" t="s">
        <v>322</v>
      </c>
      <c r="G35" s="45"/>
      <c r="H35" s="88" t="s">
        <v>323</v>
      </c>
      <c r="I35" s="45"/>
      <c r="J35" s="88" t="s">
        <v>324</v>
      </c>
      <c r="K35" s="45"/>
      <c r="L35" s="46"/>
      <c r="M35" s="46"/>
      <c r="N35" s="57"/>
      <c r="O35" s="89"/>
      <c r="P35" s="90"/>
      <c r="Q35" s="89"/>
      <c r="R35" s="91"/>
      <c r="S35" s="89"/>
      <c r="T35" s="91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</row>
    <row r="36">
      <c r="B36" s="92" t="s">
        <v>325</v>
      </c>
      <c r="C36" s="92" t="s">
        <v>302</v>
      </c>
      <c r="D36" s="92" t="s">
        <v>325</v>
      </c>
      <c r="E36" s="92" t="s">
        <v>302</v>
      </c>
      <c r="F36" s="92" t="s">
        <v>325</v>
      </c>
      <c r="G36" s="92" t="s">
        <v>302</v>
      </c>
      <c r="H36" s="92" t="s">
        <v>325</v>
      </c>
      <c r="I36" s="92" t="s">
        <v>302</v>
      </c>
      <c r="J36" s="92" t="s">
        <v>325</v>
      </c>
      <c r="K36" s="92" t="s">
        <v>302</v>
      </c>
      <c r="L36" s="46"/>
      <c r="M36" s="46"/>
      <c r="N36" s="57"/>
      <c r="O36" s="74"/>
      <c r="P36" s="91"/>
      <c r="Q36" s="89"/>
      <c r="R36" s="91"/>
      <c r="S36" s="74"/>
      <c r="T36" s="90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</row>
    <row r="37">
      <c r="A37" s="4" t="s">
        <v>326</v>
      </c>
      <c r="B37" s="56">
        <v>1634.0</v>
      </c>
      <c r="C37" s="93">
        <f t="shared" ref="C37:C41" si="24">(B37/J37)*100</f>
        <v>68.02664446</v>
      </c>
      <c r="D37" s="56">
        <v>222.0</v>
      </c>
      <c r="E37" s="94">
        <f t="shared" ref="E37:E41" si="25">(D37/J37)*100</f>
        <v>9.242298085</v>
      </c>
      <c r="F37" s="56">
        <v>546.0</v>
      </c>
      <c r="G37" s="93">
        <f t="shared" ref="G37:G41" si="26">(F37/J37)*100</f>
        <v>22.73105745</v>
      </c>
      <c r="H37" s="95"/>
      <c r="I37" s="95"/>
      <c r="J37" s="96">
        <f t="shared" ref="J37:J41" si="27">SUM(B37,D37,F37,H37)</f>
        <v>2402</v>
      </c>
      <c r="K37" s="97">
        <f t="shared" ref="K37:K41" si="28">SUM(G37+E37+C37)</f>
        <v>100</v>
      </c>
      <c r="L37" s="46"/>
      <c r="M37" s="46"/>
      <c r="N37" s="57"/>
      <c r="O37" s="74"/>
      <c r="P37" s="89"/>
      <c r="Q37" s="74"/>
      <c r="R37" s="91"/>
      <c r="S37" s="74"/>
      <c r="T37" s="90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</row>
    <row r="38">
      <c r="A38" s="4" t="s">
        <v>327</v>
      </c>
      <c r="B38" s="56">
        <v>6701.0</v>
      </c>
      <c r="C38" s="93">
        <f t="shared" si="24"/>
        <v>19.72680974</v>
      </c>
      <c r="D38" s="56">
        <v>27061.0</v>
      </c>
      <c r="E38" s="94">
        <f t="shared" si="25"/>
        <v>79.66381112</v>
      </c>
      <c r="F38" s="56">
        <v>207.0</v>
      </c>
      <c r="G38" s="93">
        <f t="shared" si="26"/>
        <v>0.6093791398</v>
      </c>
      <c r="H38" s="98"/>
      <c r="I38" s="98"/>
      <c r="J38" s="96">
        <f t="shared" si="27"/>
        <v>33969</v>
      </c>
      <c r="K38" s="97">
        <f t="shared" si="28"/>
        <v>100</v>
      </c>
      <c r="L38" s="46"/>
      <c r="M38" s="46"/>
      <c r="N38" s="46"/>
      <c r="O38" s="74"/>
      <c r="P38" s="89"/>
      <c r="Q38" s="74"/>
      <c r="R38" s="91"/>
      <c r="S38" s="74"/>
      <c r="T38" s="90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</row>
    <row r="39">
      <c r="A39" s="4" t="s">
        <v>328</v>
      </c>
      <c r="B39" s="52">
        <v>1168.0</v>
      </c>
      <c r="C39" s="93">
        <f t="shared" si="24"/>
        <v>32.14089158</v>
      </c>
      <c r="D39" s="56">
        <v>1615.0</v>
      </c>
      <c r="E39" s="94">
        <f t="shared" si="25"/>
        <v>44.4413869</v>
      </c>
      <c r="F39" s="52">
        <v>851.0</v>
      </c>
      <c r="G39" s="93">
        <f t="shared" si="26"/>
        <v>23.41772152</v>
      </c>
      <c r="H39" s="99"/>
      <c r="I39" s="99"/>
      <c r="J39" s="96">
        <f t="shared" si="27"/>
        <v>3634</v>
      </c>
      <c r="K39" s="97">
        <f t="shared" si="28"/>
        <v>100</v>
      </c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</row>
    <row r="40">
      <c r="A40" s="100" t="s">
        <v>329</v>
      </c>
      <c r="B40" s="52">
        <v>1327.0</v>
      </c>
      <c r="C40" s="93">
        <f t="shared" si="24"/>
        <v>26.60918388</v>
      </c>
      <c r="D40" s="52">
        <v>1715.0</v>
      </c>
      <c r="E40" s="94">
        <f t="shared" si="25"/>
        <v>34.38941247</v>
      </c>
      <c r="F40" s="52">
        <v>1945.0</v>
      </c>
      <c r="G40" s="93">
        <f t="shared" si="26"/>
        <v>39.00140365</v>
      </c>
      <c r="H40" s="99"/>
      <c r="I40" s="99"/>
      <c r="J40" s="96">
        <f t="shared" si="27"/>
        <v>4987</v>
      </c>
      <c r="K40" s="97">
        <f t="shared" si="28"/>
        <v>100</v>
      </c>
      <c r="L40" s="46"/>
      <c r="M40" s="46"/>
      <c r="N40" s="57"/>
      <c r="O40" s="57"/>
      <c r="P40" s="57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</row>
    <row r="41">
      <c r="A41" s="100" t="s">
        <v>330</v>
      </c>
      <c r="B41" s="52">
        <v>822.0</v>
      </c>
      <c r="C41" s="93">
        <f t="shared" si="24"/>
        <v>19.08964236</v>
      </c>
      <c r="D41" s="74">
        <v>2930.0</v>
      </c>
      <c r="E41" s="94">
        <f t="shared" si="25"/>
        <v>68.04458895</v>
      </c>
      <c r="F41" s="52">
        <v>554.0</v>
      </c>
      <c r="G41" s="93">
        <f t="shared" si="26"/>
        <v>12.86576869</v>
      </c>
      <c r="H41" s="99"/>
      <c r="I41" s="99"/>
      <c r="J41" s="96">
        <f t="shared" si="27"/>
        <v>4306</v>
      </c>
      <c r="K41" s="97">
        <f t="shared" si="28"/>
        <v>100</v>
      </c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</row>
    <row r="42">
      <c r="A42" s="101" t="s">
        <v>20</v>
      </c>
      <c r="B42" s="102">
        <f>SUM(B37:B41)</f>
        <v>11652</v>
      </c>
      <c r="C42" s="103">
        <f>B42/J42*100</f>
        <v>23.6358473</v>
      </c>
      <c r="D42" s="102">
        <f>SUM(D37:D41)</f>
        <v>33543</v>
      </c>
      <c r="E42" s="103">
        <f>D42/J42*100</f>
        <v>68.04129985</v>
      </c>
      <c r="F42" s="102">
        <f>SUM(F37:F41)</f>
        <v>4103</v>
      </c>
      <c r="G42" s="103">
        <f>F42/J42*100</f>
        <v>8.322852854</v>
      </c>
      <c r="H42" s="104"/>
      <c r="I42" s="104"/>
      <c r="J42" s="102">
        <f>SUM(J37:J41)</f>
        <v>49298</v>
      </c>
      <c r="K42" s="105">
        <f>C42+E42+G42</f>
        <v>100</v>
      </c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</row>
    <row r="43">
      <c r="A43" s="100" t="s">
        <v>331</v>
      </c>
      <c r="B43" s="96">
        <f>AVERAGE(B37:B41)</f>
        <v>2330.4</v>
      </c>
      <c r="C43" s="106"/>
      <c r="D43" s="96">
        <f>AVERAGE(D37:D41)</f>
        <v>6708.6</v>
      </c>
      <c r="E43" s="99"/>
      <c r="F43" s="96">
        <f>AVERAGE(F37:F41)</f>
        <v>820.6</v>
      </c>
      <c r="G43" s="99"/>
      <c r="H43" s="99"/>
      <c r="I43" s="99"/>
      <c r="J43" s="96">
        <f>AVERAGE(J37:J41)</f>
        <v>9859.6</v>
      </c>
      <c r="K43" s="99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</row>
    <row r="44">
      <c r="A44" s="100" t="s">
        <v>332</v>
      </c>
      <c r="B44" s="96">
        <f>MEDIAN(B37:B41)</f>
        <v>1327</v>
      </c>
      <c r="C44" s="106"/>
      <c r="D44" s="96">
        <f>MEDIAN(D37:D41)</f>
        <v>1715</v>
      </c>
      <c r="E44" s="106"/>
      <c r="F44" s="96">
        <f>MEDIAN(F37:F41)</f>
        <v>554</v>
      </c>
      <c r="G44" s="106"/>
      <c r="H44" s="99"/>
      <c r="I44" s="99"/>
      <c r="J44" s="96">
        <f>MEDIAN(J37:J41)</f>
        <v>4306</v>
      </c>
      <c r="K44" s="99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</row>
    <row r="45">
      <c r="A45" s="100" t="s">
        <v>333</v>
      </c>
      <c r="B45" s="96">
        <f t="shared" ref="B45:G45" si="29">STDEV(B37:B41)</f>
        <v>2460.709918</v>
      </c>
      <c r="C45" s="93">
        <f t="shared" si="29"/>
        <v>20.23642557</v>
      </c>
      <c r="D45" s="96">
        <f t="shared" si="29"/>
        <v>11417.69225</v>
      </c>
      <c r="E45" s="93">
        <f t="shared" si="29"/>
        <v>27.84283842</v>
      </c>
      <c r="F45" s="96">
        <f t="shared" si="29"/>
        <v>668.6152107</v>
      </c>
      <c r="G45" s="93">
        <f t="shared" si="29"/>
        <v>14.20130563</v>
      </c>
      <c r="H45" s="99"/>
      <c r="I45" s="99"/>
      <c r="J45" s="96">
        <f t="shared" ref="J45:K45" si="30">STDEV(J37:J41)</f>
        <v>13511.3079</v>
      </c>
      <c r="K45" s="93">
        <f t="shared" si="30"/>
        <v>0</v>
      </c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</row>
    <row r="48">
      <c r="A48" s="40" t="s">
        <v>276</v>
      </c>
      <c r="B48" s="107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</row>
    <row r="49">
      <c r="A49" s="1" t="s">
        <v>277</v>
      </c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</row>
    <row r="50">
      <c r="A50" s="1" t="s">
        <v>280</v>
      </c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</row>
    <row r="51">
      <c r="A51" s="1" t="s">
        <v>334</v>
      </c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</row>
    <row r="52">
      <c r="A52" s="1" t="s">
        <v>335</v>
      </c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</row>
    <row r="53">
      <c r="A53" s="1" t="s">
        <v>336</v>
      </c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</row>
    <row r="54">
      <c r="A54" s="1" t="s">
        <v>337</v>
      </c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</row>
    <row r="55"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</row>
    <row r="56"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</row>
  </sheetData>
  <mergeCells count="47">
    <mergeCell ref="N1:O1"/>
    <mergeCell ref="P1:Q1"/>
    <mergeCell ref="R1:S1"/>
    <mergeCell ref="T1:U1"/>
    <mergeCell ref="V1:W1"/>
    <mergeCell ref="X1:Y1"/>
    <mergeCell ref="A1:A2"/>
    <mergeCell ref="B1:C1"/>
    <mergeCell ref="D1:E1"/>
    <mergeCell ref="F1:G1"/>
    <mergeCell ref="H1:I1"/>
    <mergeCell ref="J1:K1"/>
    <mergeCell ref="L1:M1"/>
    <mergeCell ref="N10:O10"/>
    <mergeCell ref="P10:Q10"/>
    <mergeCell ref="R10:S10"/>
    <mergeCell ref="T10:U10"/>
    <mergeCell ref="V10:W10"/>
    <mergeCell ref="X10:Y10"/>
    <mergeCell ref="A10:A11"/>
    <mergeCell ref="B10:C10"/>
    <mergeCell ref="D10:E10"/>
    <mergeCell ref="F10:G10"/>
    <mergeCell ref="H10:I10"/>
    <mergeCell ref="J10:K10"/>
    <mergeCell ref="L10:M10"/>
    <mergeCell ref="N15:O15"/>
    <mergeCell ref="P15:Q15"/>
    <mergeCell ref="R15:S15"/>
    <mergeCell ref="T15:U15"/>
    <mergeCell ref="V15:W15"/>
    <mergeCell ref="X15:Y15"/>
    <mergeCell ref="A22:A23"/>
    <mergeCell ref="B22:C22"/>
    <mergeCell ref="D22:E22"/>
    <mergeCell ref="B35:C35"/>
    <mergeCell ref="D35:E35"/>
    <mergeCell ref="F35:G35"/>
    <mergeCell ref="H35:I35"/>
    <mergeCell ref="J35:K35"/>
    <mergeCell ref="A15:A16"/>
    <mergeCell ref="B15:C15"/>
    <mergeCell ref="D15:E15"/>
    <mergeCell ref="F15:G15"/>
    <mergeCell ref="H15:I15"/>
    <mergeCell ref="J15:K15"/>
    <mergeCell ref="L15:M15"/>
  </mergeCells>
  <drawing r:id="rId2"/>
  <legacyDrawing r:id="rId3"/>
</worksheet>
</file>